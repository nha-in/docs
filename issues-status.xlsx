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tables/table6.xml" ContentType="application/vnd.openxmlformats-officedocument.spreadsheetml.table+xml"/>
  <Override PartName="/xl/tables/table5.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ummary" sheetId="1" state="visible" r:id="rId3"/>
    <sheet name="All issues" sheetId="2" state="visible" r:id="rId4"/>
    <sheet name="Fixed in my docs" sheetId="3" state="visible" r:id="rId5"/>
    <sheet name="Wrong in handbook" sheetId="4" state="visible" r:id="rId6"/>
    <sheet name="Left to fix" sheetId="5" state="visible" r:id="rId7"/>
    <sheet name="Changed since last check" sheetId="6" state="visible" r:id="rId8"/>
    <sheet name="Needs NHA"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<sst xmlns="http://schemas.openxmlformats.org/spreadsheetml/2006/main" count="5275" uniqueCount="786">
  <si>
    <t xml:space="preserve">NHCX issues: status against my docs</t>
  </si>
  <si>
    <t xml:space="preserve">Source: issues.xlsx (Defect register, Error codes ER-1b, DOCS site findings). Each issue checked against site/docs/nhcx/v1 and catalogue/nhcx in this repo, the HANDBOOK text under current/doc, the apps (nhcx-adapter, backend, package, nanoemr) and reports/nhcx-e2e-run-2026-09-21.json. Counts below are formulas over the All issues sheet.</t>
  </si>
  <si>
    <t xml:space="preserve">My docs</t>
  </si>
  <si>
    <t xml:space="preserve">Total</t>
  </si>
  <si>
    <t xml:space="preserve">Blocker</t>
  </si>
  <si>
    <t xml:space="preserve">Critical</t>
  </si>
  <si>
    <t xml:space="preserve">Major</t>
  </si>
  <si>
    <t xml:space="preserve">Minor</t>
  </si>
  <si>
    <t xml:space="preserve">Fixed in docs</t>
  </si>
  <si>
    <t xml:space="preserve">Partly fixed</t>
  </si>
  <si>
    <t xml:space="preserve">Not fixed</t>
  </si>
  <si>
    <t xml:space="preserve">Not a docs issue</t>
  </si>
  <si>
    <t xml:space="preserve">Unconfirmed</t>
  </si>
  <si>
    <t xml:space="preserve">Handbook</t>
  </si>
  <si>
    <t xml:space="preserve">Handbook wrong</t>
  </si>
  <si>
    <t xml:space="preserve">Handbook incomplete</t>
  </si>
  <si>
    <t xml:space="preserve">Handbook right</t>
  </si>
  <si>
    <t xml:space="preserve">Handbook not involved</t>
  </si>
  <si>
    <t xml:space="preserve">Since last check</t>
  </si>
  <si>
    <t xml:space="preserve">Newly fixed</t>
  </si>
  <si>
    <t xml:space="preserve">Newly partly fixed</t>
  </si>
  <si>
    <t xml:space="preserve">Still fixed</t>
  </si>
  <si>
    <t xml:space="preserve">Still partly fixed</t>
  </si>
  <si>
    <t xml:space="preserve">Still open</t>
  </si>
  <si>
    <t xml:space="preserve">Re-assessed</t>
  </si>
  <si>
    <t xml:space="preserve">Regressed</t>
  </si>
  <si>
    <t xml:space="preserve">Confirmed by the live sandbox run</t>
  </si>
  <si>
    <t xml:space="preserve">Needs NHA (platform or spec owner)</t>
  </si>
  <si>
    <t xml:space="preserve">Issues checked</t>
  </si>
  <si>
    <t xml:space="preserve">All issues</t>
  </si>
  <si>
    <t xml:space="preserve">Every issue in issues.xlsx, checked against the docs in this repo, the apps (nhcx-adapter, backend, package, nanoemr) and the live sandbox run of 21 Sep 2026.</t>
  </si>
  <si>
    <t xml:space="preserve">ID</t>
  </si>
  <si>
    <t xml:space="preserve">From sheet</t>
  </si>
  <si>
    <t xml:space="preserve">Severity</t>
  </si>
  <si>
    <t xml:space="preserve">API / Area</t>
  </si>
  <si>
    <t xml:space="preserve">Finding (from issues.xlsx)</t>
  </si>
  <si>
    <t xml:space="preserve">My docs: status</t>
  </si>
  <si>
    <t xml:space="preserve">My docs: evidence</t>
  </si>
  <si>
    <t xml:space="preserve">Handbook: verdict</t>
  </si>
  <si>
    <t xml:space="preserve">Handbook: evidence</t>
  </si>
  <si>
    <t xml:space="preserve">What the apps and live run actually do</t>
  </si>
  <si>
    <t xml:space="preserve">Confirmed live</t>
  </si>
  <si>
    <t xml:space="preserve">Left to fix</t>
  </si>
  <si>
    <t xml:space="preserve">Bucket</t>
  </si>
  <si>
    <t xml:space="preserve">What changed</t>
  </si>
  <si>
    <t xml:space="preserve">2.1</t>
  </si>
  <si>
    <t xml:space="preserve">Defect register</t>
  </si>
  <si>
    <t xml:space="preserve">Base URLs</t>
  </si>
  <si>
    <t xml:space="preserve">Base URLs irreconcilable across sources; production hosts are different domains.</t>
  </si>
  <si>
    <t xml:space="preserve">getting-started/base-urls.md:27-32 and reference/environments-and-addresses.md:21-28 give sandbox and production bases; production exchange apisprod.nha.gov.in/hcx, participant apisprod.nha.gov.in/pmjay/hcx/participanthcxservice, ABDM proxy, portal, face auth added. base-urls.md:56 and environments:54-58 call the host swap an inference and say to check onboarding letter.</t>
  </si>
  <si>
    <t xml:space="preserve">Handbook 3.2 and Quick Reference give sandbox https://apisbx.abdm.gov.in/pmjay/sbxhcx and production https://apis.abdm.gov.in/pmjay/hcx. Section 2.3 posts /preauth/submit to that host. That host is not the exchange.</t>
  </si>
  <si>
    <t xml:space="preserve">Sandbox: nhcx-adapter/internal/config/config.go:56-58 uses apisbx.abdm.gov.in/hcx/v1, .../participanthcxservice and dev.abdm.gov.in v3 sessions. Production defaults at config.go:50-52 are apis.abdm.gov.in/hcx/v1, apis.abdm.gov.in/pmjay/hcx/participanthcxservice and live.abdm.gov.in. These are a host swap the code infers.</t>
  </si>
  <si>
    <t xml:space="preserve">Yes</t>
  </si>
  <si>
    <t xml:space="preserve">Sandbox done. Production still contradicts the apps (apis.abdm.gov.in) and now the new skills: plugins/nhcx/skills/nhcx-full/gateway/G2-configuration.md:22-23, G4-registry.md:24, G5-protocol-headers.md:33 (same in coverage, claim) say apis.abdm.gov.in. Reconcile and label production rows unverified in the tables.</t>
  </si>
  <si>
    <t xml:space="preserve">Wrong in handbook, Left to fix</t>
  </si>
  <si>
    <t xml:space="preserve">nhcx-registry.yaml no longer has apis.abdm.gov.in/pmjay/hcx (server now apisprod at :48) and an inference caveat was added, but the new NHCX skills publish the opposite production host.</t>
  </si>
  <si>
    <t xml:space="preserve">2.2</t>
  </si>
  <si>
    <t xml:space="preserve">Session</t>
  </si>
  <si>
    <t xml:space="preserve">Session token endpoint differs three ways across two API versions.</t>
  </si>
  <si>
    <t xml:space="preserve">getting-started/session-token.md:17-38 documents POST dev.abdm.gov.in/api/hiecm/gateway/v3/sessions with REQUEST-ID, TIMESTAMP, X-CM-ID and JSON grantType; :73-84 'The other call named session' contrasts it with participant /get/session. api/registry/index.md:16 repeats the warning.</t>
  </si>
  <si>
    <t xml:space="preserve">Handbook 3.1 has POST /get/session on Host apisbx.abdm.gov.in, form-encoded grant_type. That form and body belong to the participant service call, but the host lacks /pmjay/sbxhcx/participanthcxservice. The call exists, so 'cannot obtain a token' overstates the problem: only the host is wrong.</t>
  </si>
  <si>
    <t xml:space="preserve">nhcx-adapter/internal/abdm/client.go:209-231 supports both modes. The default 'sessions' sends JSON grantType plus REQUEST-ID, TIMESTAMP and X-CM-ID. 'get-session' posts a form to Participant+/get/session (config.go:402). backend/nhcx-adapter/config.json sets auth.mode sessions.</t>
  </si>
  <si>
    <t xml:space="preserve">None for the v3 sessions call (issued the live token, e2e UC-04). Optional: say the participant /get/session call has not been run live.</t>
  </si>
  <si>
    <t xml:space="preserve">Fixed in my docs, Wrong in handbook</t>
  </si>
  <si>
    <t xml:space="preserve">No change, except api/registry/index.md:16 now also warns the two session calls differ.</t>
  </si>
  <si>
    <t xml:space="preserve">2.3</t>
  </si>
  <si>
    <t xml:space="preserve">Envelope headers</t>
  </si>
  <si>
    <t xml:space="preserve">Three x-hcx-* obligations are inverted between sources.</t>
  </si>
  <si>
    <t xml:space="preserve">getting-started/jwe-message-format.md:95,97 and reference/envelope-fields.md:32,34 make request_id and workflow_id Optional. x-hcx-ben-abha-id is still Mandatory 'on every exchange' at jwe-message-format.md:100, envelope-fields.md:37,65, authentication.md:40,58,91,110,127,145,161,178,220, status-and-search.md:46.</t>
  </si>
  <si>
    <t xml:space="preserve">Handbook 2.1 table: request_id Yes, workflow_id Yes, ben-abha-id Optional. Optional matches live behaviour for ben-abha-id. Always sending request_id is harmless. workflow_id Yes is too strict.</t>
  </si>
  <si>
    <t xml:space="preserve">nhcx-adapter/internal/nhcx/headers.go:151 always generates request_id. headers.go:156-158 drops an empty workflow_id; backend/provider/internal/api/coverage.go:296 sets it only sometimes. No Go app ever sets x-hcx-ben-abha-id; it appears only in the Bruno samples (package/apis/*.bru:22).</t>
  </si>
  <si>
    <t xml:space="preserve">168 live messages without x-hcx-ben-abha-id, 0 refusals. Change Mandatory to optional or conditional (PMJAY only, unconfirmed) at the lines cited. The new skills (nhcx-full/gateway/G5-protocol-headers.md) also never set it, so docs and skills disagree.</t>
  </si>
  <si>
    <t xml:space="preserve">No change to the ben-abha-id obligation; authentication.md now repeats Mandatory in nine tables.</t>
  </si>
  <si>
    <t xml:space="preserve">2.3b</t>
  </si>
  <si>
    <t xml:space="preserve">HANDBOOK omits five envelope fields DOCS documents.</t>
  </si>
  <si>
    <t xml:space="preserve">getting-started/jwe-message-format.md:101-104 (use_case, error_details mandatory on a protocol response, debug_details, debug_flag), :113-122 domain headers; reference/envelope-fields.md:38-41 and :164-180.</t>
  </si>
  <si>
    <t xml:space="preserve">Handbook 2.1 field table (lines 182-193) stops at x-hcx-ben-abha-id. None of the five fields appears.</t>
  </si>
  <si>
    <t xml:space="preserve">nhcx-adapter/internal/nhcx/headers.go:130-160 never sets use_case, error_details or debug fields. adapter.go:449 accepts an inbound ProtocolResponse or /v1/error notice without a JWE. No app emits x-hcx-error_details.</t>
  </si>
  <si>
    <t xml:space="preserve">No</t>
  </si>
  <si>
    <t xml:space="preserve">None. Minor: debug_flag values disagree (jwe-message-format.md:104 'Send INFO', envelope-fields.md:41 'Error, Info or Debug'). error_details not run live (no fault injected).</t>
  </si>
  <si>
    <t xml:space="preserve">Now also covered on the new jwe-message-format.md page; a small debug_flag casing inconsistency appeared between the two pages.</t>
  </si>
  <si>
    <t xml:space="preserve">2.4</t>
  </si>
  <si>
    <t xml:space="preserve">Protocol status</t>
  </si>
  <si>
    <t xml:space="preserve">HANDBOOK's x-hcx-status vocabulary matches neither the current nor the superseded set.</t>
  </si>
  <si>
    <t xml:space="preserve">getting-started/jwe-message-format.md:155-188 'Status values' lists the seven canonical values with a worked preauth sequence and marks the Open Protocol set superseded; reference/envelope-fields.md:122-145 'Status words' matches.</t>
  </si>
  <si>
    <t xml:space="preserve">Handbook Appendix C.2 lists request.initiated, request.acknowledged, request.queried, request.complete, request.error, request.rejected. Only request.initiated overlaps. Its own D5 has NHCX-1011 for an invalid x-hcx-status.</t>
  </si>
  <si>
    <t xml:space="preserve">nhcx-adapter/internal/nhcx/headers.go:86-91 defaults to request.initiated or response.complete. adapter.go:755 returns receipt protocol_status request.queued. The e2e run sent response.partial then response.complete on task/on_submit.</t>
  </si>
  <si>
    <t xml:space="preserve">None. Optional: cite e2e finding 2, where a second decision on a completed thread was refused with 400.</t>
  </si>
  <si>
    <t xml:space="preserve">No change beyond the new page restating the same set.</t>
  </si>
  <si>
    <t xml:space="preserve">2.5</t>
  </si>
  <si>
    <t xml:space="preserve">Correlation ID</t>
  </si>
  <si>
    <t xml:space="preserve">HANDBOOK states half the correlation rule and omits the retirement rule.</t>
  </si>
  <si>
    <t xml:space="preserve">getting-started/jwe-message-format.md:134-141 and reference/envelope-fields.md:67-93: a request sets correlation_id to its own api_call_id, a response echoes it, api_call_id differs on a response, a failed ID is retired (NHCX-1006).</t>
  </si>
  <si>
    <t xml:space="preserve">Handbook 2.1 says correlation_id 'must remain the same across the full lifecycle'. There is no retirement or inequality rule, yet its own D5 lists NHCX-1006 'Request with same correlation id already exist'.</t>
  </si>
  <si>
    <t xml:space="preserve">nhcx-adapter/internal/nhcx/headers.go:150-152 gives correlation_id and api_call_id independent random UUIDs, so requests are not seeded from api_call_id. adapter.go:192-205 copies the request's correlation onto a response.</t>
  </si>
  <si>
    <t xml:space="preserve">Reword 'Request: this message's own api_call_id' to 'may' at jwe-message-format.md:136 and envelope-fields.md:76; keep echo, inequality and retirement rules. New skill nhcx-full/gateway/G5-protocol-headers.md:86 uses a fresh UUID, matching the apps.</t>
  </si>
  <si>
    <t xml:space="preserve">No change; the seeding rule is now also on the new jwe-message-format.md page.</t>
  </si>
  <si>
    <t xml:space="preserve">2.6</t>
  </si>
  <si>
    <t xml:space="preserve">Timestamps</t>
  </si>
  <si>
    <t xml:space="preserve">HANDBOOK over-generalises the IST rule.</t>
  </si>
  <si>
    <t xml:space="preserve">getting-started/session-token.md:35,100,204 require gateway TIMESTAMP in UTC with milliseconds and Z; :101 x-hcx-timestamp as +05:30 without milliseconds. jwe-message-format.md:143-153 and envelope-fields.md:147-161 give +05:30, epoch on input, PAYR-1005 24h bound.</t>
  </si>
  <si>
    <t xml:space="preserve">Handbook 1.3 and Quick Reference: 'All timestamps must be in IST timezone (+05:30). UTC or other zones will cause validation failures.' 3.1 never mentions the sessions TIMESTAMP.</t>
  </si>
  <si>
    <t xml:space="preserve">nhcx-adapter/internal/abdm/client.go:229 sends TIMESTAMP as time.RFC3339 UTC with no milliseconds. nhcx/headers.go:28-31 sends x-hcx-timestamp as a colon-less host-local offset (+0530); the Alpine image sets no TZ, so it may be +0000 (unconfirmed).</t>
  </si>
  <si>
    <t xml:space="preserve">Soften the milliseconds requirement at session-token.md:35,100,204 (no-millis TIMESTAMP issued a live token). Note in jwe-message-format.md:145 that colon-less +0530 was accepted live. The new skills (nhcx-full/gateway/G3-session-token.md:62, G5-protocol-headers.md:51) already describe the app behaviour.</t>
  </si>
  <si>
    <t xml:space="preserve">No change to the rule; the new skills now document the no-millis and +0530 forms, which the site pages still contradict.</t>
  </si>
  <si>
    <t xml:space="preserve">2.7</t>
  </si>
  <si>
    <t xml:space="preserve">Auth header</t>
  </si>
  <si>
    <t xml:space="preserve">Auth header name is not agreed.</t>
  </si>
  <si>
    <t xml:space="preserve">getting-started/session-token.md:54 and reference/environments-and-addresses.md:74-77 say to send bearer_auth and Authorization with the same value and explain why; environments:65-72 table gives the header per service.</t>
  </si>
  <si>
    <t xml:space="preserve">Handbook 2.3 and 3.3 show only 'bearer_auth: Bearer &lt;token&gt;'.</t>
  </si>
  <si>
    <t xml:space="preserve">nhcx-adapter/internal/abdm/client.go:548-549 sets bearer_auth (raw map key, not canonicalised) and Authorization: Bearer on every registry and gateway call.</t>
  </si>
  <si>
    <t xml:space="preserve">None. The live run proves that sending both works, not which header each service reads.</t>
  </si>
  <si>
    <t xml:space="preserve">No change.</t>
  </si>
  <si>
    <t xml:space="preserve">2.8</t>
  </si>
  <si>
    <t xml:space="preserve">Token lifetime stated as fact when it is contested.</t>
  </si>
  <si>
    <t xml:space="preserve">getting-started/session-token.md:62-68 names 300/1200/6000, relies on none, refreshes on age and retries once on 401. Fixed 1200s/20 min remains: nhcx-registry.yaml:65,84,88,104,133,147 (feeds api/registry/index.md:24, registry-get-session.mdx:5) and roles/provider/pmjay-adjudication-apis.md:46.</t>
  </si>
  <si>
    <t xml:space="preserve">Handbook 3.1: 'Tokens expire after 1200 seconds (20 minutes)', with sample expires_in 1200.</t>
  </si>
  <si>
    <t xml:space="preserve">nhcx-adapter/internal/abdm/client.go:258-262 reads expiresIn/expires_in from the response and falls back to auth.tokenTtlSeconds (1200 in backend/nhcx-adapter/config.json). client.go:541-560 refetches the token once on 401.</t>
  </si>
  <si>
    <t xml:space="preserve">Drop the fixed lifetime in nhcx-registry.yaml:65,84,88,104 and pmjay-adjudication-apis.md:46. Add to session-token.md:66 'read expiresIn from the response', as the adapter and nhcx-full/gateway/G3-session-token.md:35 do.</t>
  </si>
  <si>
    <t xml:space="preserve">The rewritten get/session prose added two more fixed '20 minutes' claims (Postconditions :84, Common mistakes :88); nothing was removed.</t>
  </si>
  <si>
    <t xml:space="preserve">2.9</t>
  </si>
  <si>
    <t xml:space="preserve">ABHA format</t>
  </si>
  <si>
    <t xml:space="preserve">HANDBOOK mandates two ABHA formats without saying which applies where. DOCS resolves it.</t>
  </si>
  <si>
    <t xml:space="preserve">jwe-message-format.md:108 now notes the published header sample sends 14 digits but NHCX-1018 asks for XX-XXXX-XXXX-XXXX, and says format at header build. building-and-sending-a-jwe.md:44-47 says hyphenate only after NHCX-1018. envelope-fields.md:37 and troubleshooting.md:46 still say the gateway wants hyphens.</t>
  </si>
  <si>
    <t xml:space="preserve">Handbook 2.1 table: ben-abha-id 'no hyphens allowed'. Quick Reference: 'ABHA without hyphens'. D5 NHCX-1018 demands XX-XXXX-XXXX-XXXX. There is no scope, and no run has shown which one the header needs.</t>
  </si>
  <si>
    <t xml:space="preserve">No Go app sends x-hcx-ben-abha-id (grep of backend/, nhcx-adapter/). package/apis/03-preauth/v1-preauth-on-submit.bru:22 sends 91711234567890 with no hyphens. The bundle builders use unhyphenated ABHA.</t>
  </si>
  <si>
    <t xml:space="preserve">Make jwe-message-format.md:108, envelope-fields.md:37 and troubleshooting.md:46 say what building-and-sending-a-jwe.md:47 says (hyphenate only if NHCX-1018 is returned), and state the header format has not been observed live.</t>
  </si>
  <si>
    <t xml:space="preserve">jwe-message-format.md:108 now acknowledges the unhyphenated sample, closer to building-and-sending-a-jwe.md, but still not the same rule.</t>
  </si>
  <si>
    <t xml:space="preserve">3.0.1</t>
  </si>
  <si>
    <t xml:space="preserve">Paths</t>
  </si>
  <si>
    <t xml:space="preserve">The /v1 prefix appears and disappears within HANDBOOK.</t>
  </si>
  <si>
    <t xml:space="preserve">Every use-case path in catalogue/openapi/nhcx/v1/*.yaml is under /v1; provider-checklist.md:28,30,33 use /v1. Unprefixed paths remain only in roles/provider/provider-checklist.md:187-191 (quoted NHA test cases TC-PA/TC-CL).</t>
  </si>
  <si>
    <t xml:space="preserve">Confirmed: 2.3 POST /preauth/submit, 8.6 /task/submit, 6.5 /insuranceplan/on_request, 12.1 /communication/request and /communication/on_request, but 2.5 /v1/preauth/on_submit and 10.2 /v1/task/submit.</t>
  </si>
  <si>
    <t xml:space="preserve">nhcx-adapter/internal/nhcx/headers.go TargetURL joins base .../hcx/v1 with v1/... paths. All 168 live messages went to v1/* operations (e2e report section 3).</t>
  </si>
  <si>
    <t xml:space="preserve">Optional: annotate provider-checklist.md:187-191 to say the real paths are /v1/preauth/submit, /v1/claim/submit and /v1/task/submit.</t>
  </si>
  <si>
    <t xml:space="preserve">IP-1</t>
  </si>
  <si>
    <t xml:space="preserve">Insurance plan</t>
  </si>
  <si>
    <t xml:space="preserve">Four different code systems for Task.code across one document.</t>
  </si>
  <si>
    <t xml:space="preserve">catalogue/openapi/nhcx/v1/nhcx-insurance-plan.yaml:67,327 no longer name a Task.code system (old URI gone). reference/fhir/insurance-plan-request.md:42 still correct. Old URI remains at catalogue/nhcx/concepts/insurance-plan.md:89, and in stale gitignored build output site/static/specs/nhcx-insurance-plan.yaml:75.</t>
  </si>
  <si>
    <t xml:space="preserve">Handbook line 574 (6.4) uses https://nhcx.abdm.gov.in/api; 8.6 (l.1015), 10.4 (l.1646), 11.6 (l.1918), 12.x (l.1994) use financialtaskcode; 11.5 (l.1851) uses ndhm-task-codes. Only 6.4 is wrong.</t>
  </si>
  <si>
    <t xml:space="preserve">poll in financialtaskcode: backend/provider/internal/nhcx/plan.go:60, package/fhir/B2/B2-request.json. deliver in ndhm-task-codes: backend/payer/internal/fhir/paymentreconciliation.go:25,187. approve in hl7 task-code: backend/payer/internal/fhir/wire.go:28.</t>
  </si>
  <si>
    <t xml:space="preserve">Change catalogue/nhcx/concepts/insurance-plan.md:89 to system http://terminology.hl7.org/CodeSystem/financialtaskcode. Rebuild site/static/specs so the stale copy is replaced. The spec half of the earlier fix is done.</t>
  </si>
  <si>
    <t xml:space="preserve">The OpenAPI spec no longer carries the old URI; the catalogue concept atom still does.</t>
  </si>
  <si>
    <t xml:space="preserve">IP-2</t>
  </si>
  <si>
    <t xml:space="preserve">Cardinality contradicts the note beneath it.</t>
  </si>
  <si>
    <t xml:space="preserve">reference/fhir/insurance-plan-request.md:50 says 'At least one' of policyNumber and providerId. Same page B2 data elements still mark policyNumber 1..1 (l.114) and facilityId 1..1 (l.115).</t>
  </si>
  <si>
    <t xml:space="preserve">Handbook 6.4 (l.575) types Task.input[0].type.coding.code 1..1 policyNumber; note at l.581 says either policyNumber or providerId is enough.</t>
  </si>
  <si>
    <t xml:space="preserve">backend/provider/internal/nhcx/plan.go:36-53 sends policyNumber and/or providerId and errors only when both are empty (ErrNoPlanInput l.26). Samples send both (package/fhir/B2, D1).</t>
  </si>
  <si>
    <t xml:space="preserve">Mark policyNumber and facilityId 0..1 with 'at least one of the two' in reference/fhir/insurance-plan-request.md:114-115 (via the nhcx-package source it is generated from).</t>
  </si>
  <si>
    <t xml:space="preserve">IP-3</t>
  </si>
  <si>
    <t xml:space="preserve">Mandatory input type with an optional value.</t>
  </si>
  <si>
    <t xml:space="preserve">reference/fhir/insurance-plan-request.md:33-36 pair each input type with a valueString; data elements l.114-115 give the value itself 1..1. No 0..1 value row.</t>
  </si>
  <si>
    <t xml:space="preserve">Handbook l.575-576: input[0].type 1..1, input[0].valueString 0..1.</t>
  </si>
  <si>
    <t xml:space="preserve">plan.go:43-53 adds an input only when its value is non-empty, so a type never travels without a valueString.</t>
  </si>
  <si>
    <t xml:space="preserve">None</t>
  </si>
  <si>
    <t xml:space="preserve">IP-4</t>
  </si>
  <si>
    <t xml:space="preserve">Five published claim-condition fields have no stated meaning.</t>
  </si>
  <si>
    <t xml:space="preserve">reference/fhir/insurance-plan-response-package-based.md:89-109 is correct (wire codes, los 'not carried'). But roles/provider/pmjay-provider.md:79-84 lists the handbook's NA fields (los, gst_applicable, gst_percentage, incentive_applicable, ip_op_flag, rules_yn) as screen flags with no wire code.</t>
  </si>
  <si>
    <t xml:space="preserve">Handbook 6.6 (l.634-662) has six fields with code NA (rules_yn, los, ip_op_flag, incentive_applicable, gst_applicable, gst_percentage). notifications_yn, rate_flag_yn, erupi_flag, tier: Unconfirmed.</t>
  </si>
  <si>
    <t xml:space="preserve">Wire carries Claim-Condition/&lt;PascalCase&gt; extension URLs, e.g. package/fhir/C4/C4-response-pmjay.json:639; nanoemr/emr/web/routes/claims.py:618 reads them by those names.</t>
  </si>
  <si>
    <t xml:space="preserve">In roles/provider/pmjay-provider.md:79-84 mark the six NA fields as not carried on the wire (as package-based page l.109 does for los), or drop them from the flag table.</t>
  </si>
  <si>
    <t xml:space="preserve">Not a new edit: pmjay-provider.md is unchanged since HEAD; the earlier check cited only its l.65-76 and missed the NA rows at l.79-84.</t>
  </si>
  <si>
    <t xml:space="preserve">IP-5</t>
  </si>
  <si>
    <t xml:space="preserve">Three naming conventions in one table.</t>
  </si>
  <si>
    <t xml:space="preserve">insurance-plan-response-package-based.md:89-108 uses PascalCase wire codes only. roles/provider/pmjay-provider.md:78-84 mixes 'Procedure Type' (with a space) and snake_case (gst_applicable, rules_yn). concepts/pmjay-use-cases.md:358 uses cyclic_proc_yn and no_of_cycles, not CyclicProcedure/MaximumCyclesAllowed.</t>
  </si>
  <si>
    <t xml:space="preserve">Handbook 6.6 mixes snake_case_yn (auto_approve_yn), camelCase (dischargeStageForLamaDamaProc l.652), PascalCase (Standalone, ParentProcedure, Unspecified l.659-661) and 'Procedure Type' with a space.</t>
  </si>
  <si>
    <t xml:space="preserve">Only the PascalCase extension names exist on the wire: package/fhir/C4/C4-response-pmjay.json:639,684.</t>
  </si>
  <si>
    <t xml:space="preserve">pmjay-provider.md:78 rename 'Procedure Type' to ProcedureType; pmjay-use-cases.md:358 replace cyclic_proc_yn and no_of_cycles with CyclicProcedure and MaximumCyclesAllowed.</t>
  </si>
  <si>
    <t xml:space="preserve">pmjay-use-cases.md:358 arrived today in the merge of the deleted pmjay-scheme-rules.md (was l.88 there); pmjay-provider.md:78 predates today and the earlier check missed it.</t>
  </si>
  <si>
    <t xml:space="preserve">IP-6</t>
  </si>
  <si>
    <t xml:space="preserve">Description truncated mid-sentence.</t>
  </si>
  <si>
    <t xml:space="preserve">reference/fhir/insurance-plan-response-package-based.md:100 'MaximumImplantsAllowed | 1, 0 | Cap on the number of implants'; roles/provider/pmjay-provider.md:65 complete too.</t>
  </si>
  <si>
    <t xml:space="preserve">Handbook l.648: max_implants_allowed '...in one transaction cycle including the' ends mid-sentence.</t>
  </si>
  <si>
    <t xml:space="preserve">No app evidence</t>
  </si>
  <si>
    <t xml:space="preserve">IP-7</t>
  </si>
  <si>
    <t xml:space="preserve">PORTAL carries no insurance-plan endpoint pair.</t>
  </si>
  <si>
    <t xml:space="preserve">catalogue/openapi/nhcx/v1/nhcx-insurance-plan.yaml:58,177 (paths) and 315,394 (webhooks) publish /v1/insuranceplan/request and on_request, rendered in site/docs/nhcx/v1/api/insurance-plan/endpoints/ (4 pages).</t>
  </si>
  <si>
    <t xml:space="preserve">Handbook Section 6 documents the use case; the gap is on the portal.</t>
  </si>
  <si>
    <t xml:space="preserve">backend/provider/internal/nhcx/plan.go builds the request; the e2e report says the insurance plan request/on_request four legs were accepted and plan 55 returned ready.</t>
  </si>
  <si>
    <t xml:space="preserve">Spec owner / NHA</t>
  </si>
  <si>
    <t xml:space="preserve">Needs NHA</t>
  </si>
  <si>
    <t xml:space="preserve">No change; the /internal copies are still removed only in the uncommitted working tree.</t>
  </si>
  <si>
    <t xml:space="preserve">CE-1</t>
  </si>
  <si>
    <t xml:space="preserve">Coverage eligibility</t>
  </si>
  <si>
    <t xml:space="preserve">An invalid FHIR purpose code is published.</t>
  </si>
  <si>
    <t xml:space="preserve">reference/fhir/coverage-eligibility-request.md:132 lists discovery, validation, benefits, auth-requirements; l.212 binds http://hl7.org/fhir/eligibilityrequest-purpose. No AUTH_REQUIREMENT in site/docs/nhcx, catalogue/nhcx, catalogue/openapi/nhcx or plugins/nhcx.</t>
  </si>
  <si>
    <t xml:space="preserve">Handbook 7.4 (l.694) says 'the AUTH_REQUIREMENT purpose'; 7.3 (l.683) lists discovery, validation, benefits, auth-requirements; 7.5 (l.715) lists three.</t>
  </si>
  <si>
    <t xml:space="preserve">backend/provider/internal/api/coverage.go:177-186 sends discovery and auth-requirements; package/fhir/B1/auth-requirements.json purpose auth-requirements.</t>
  </si>
  <si>
    <t xml:space="preserve">CE-2</t>
  </si>
  <si>
    <t xml:space="preserve">Request and response of the same API use different code systems.</t>
  </si>
  <si>
    <t xml:space="preserve">reference/fhir/coverage-eligibility-response.md:194-195 PMJAY sample echoes MG0111A, MG072C. catalogue/openapi/nhcx/v1/nhcx-eligibility.yaml:101 still says items come back in numeric master codes (100478 against MG003B).</t>
  </si>
  <si>
    <t xml:space="preserve">Handbook 7.6 (l.756-758) shows 100005 and 100478/100063/100012. NHA's own sample coverageresponse_auth-requirement.txt echoes MG004A.</t>
  </si>
  <si>
    <t xml:space="preserve">Payer echoes the asked code: backend/payer/internal/fhir/eligibility.go:776-780. package/fhir/C3/C3-response-pmjay.json echoes MG0111A. 100005 is a Questionnaire id in C4-response-pmjay.json:70.</t>
  </si>
  <si>
    <t xml:space="preserve">Delete the numeric-code bullet at catalogue/openapi/nhcx/v1/nhcx-eligibility.yaml:101, then rebuild the specs.</t>
  </si>
  <si>
    <t xml:space="preserve">No change; the bullet survived the API prose rewrite and moved from l.104 to l.101.</t>
  </si>
  <si>
    <t xml:space="preserve">CE-3</t>
  </si>
  <si>
    <t xml:space="preserve">Coverage eligibility / Claim</t>
  </si>
  <si>
    <t xml:space="preserve">A third procedure-code namespace appears in the claim.</t>
  </si>
  <si>
    <t xml:space="preserve">PMJAY sections name the package master (coverage-eligibility-request.md:164, preauthorisation-request.md:231). No generic rule says InsurancePlan is authoritative. PROC-KNEE-01 is in product-code at coverage-eligibility-request.md:49 but ndhm-procedure-code at preauthorisation-request.md:79 and claim-request.md:77, unexplained.</t>
  </si>
  <si>
    <t xml:space="preserve">Claim sample uses SE/SE012A (l.856-859); A.5 note l.2162 says codes are samples and real ones come from InsurancePlan. MG003B and SE012A are the same HBP namespace.</t>
  </si>
  <si>
    <t xml:space="preserve">Provider sends product-code on eligibility (backend/provider/internal/nhcx/coverage.go:40,242) and ndhm-procedure-code/ndhm-benefit-category on claims (claimbundle.go:49-50,523). Both accepted live.</t>
  </si>
  <si>
    <t xml:space="preserve">Add one rule to coverage-eligibility-request.md and preauthorisation-request.md: package codes come from the payer's InsurancePlan, and the system URI differs by exchange (product-code vs ndhm-procedure-code).</t>
  </si>
  <si>
    <t xml:space="preserve">CE-4</t>
  </si>
  <si>
    <t xml:space="preserve">A non-existent FHIR data type is published.</t>
  </si>
  <si>
    <t xml:space="preserve">reference/fhir/coverage-eligibility-request.md:50 shows item[].quantity as 'value 1'; no 'numeric' type for quantity in reference/fhir/.</t>
  </si>
  <si>
    <t xml:space="preserve">Handbook 7.5 l.733: item[*].quantity.value typed 'numeric'.</t>
  </si>
  <si>
    <t xml:space="preserve">backend/provider/internal/nhcx/coverage.go:237-243 sends quantity {value: n}, a SimpleQuantity.</t>
  </si>
  <si>
    <t xml:space="preserve">CE-5</t>
  </si>
  <si>
    <t xml:space="preserve">Purpose values asymmetric between request and response.</t>
  </si>
  <si>
    <t xml:space="preserve">reference/fhir/coverage-eligibility-response.md:36,104,182 show purpose auth-requirements; l.141,145 cover authorizationSupporting for auth-requirements.</t>
  </si>
  <si>
    <t xml:space="preserve">Handbook 7.6 l.741 response purpose 'validation OR benefits'; request l.715 allows auth-requirements.</t>
  </si>
  <si>
    <t xml:space="preserve">Payer echoes whatever was asked: backend/payer/internal/fhir/eligibility.go:156-162,234. package/fhir/C3/C3-response-pmjay.json purpose auth-requirements.</t>
  </si>
  <si>
    <t xml:space="preserve">CE-6</t>
  </si>
  <si>
    <t xml:space="preserve">Business conditions and cardinality disagree.</t>
  </si>
  <si>
    <t xml:space="preserve">coverage-eligibility-request.md:42-44 and rule 5 (l.148) name enterer PractitionerRole, provider, insurer. B1 data elements (l.210-226) have no provider, insurer or enterer rows. roles/provider/registration-and-eligibility.md:97 says send enterer as a Practitioner, contradicting l.148.</t>
  </si>
  <si>
    <t xml:space="preserve">7.3 (l.684-685) requires Provider, Insurer and an enterer PractitionerRole; 7.5 (l.717-718) types provider and insurer 0..1 and omits enterer.</t>
  </si>
  <si>
    <t xml:space="preserve">backend/provider/internal/nhcx/coverage.go:104-106 always sends enterer, provider and insurer; all package/fhir/B1 samples carry them.</t>
  </si>
  <si>
    <t xml:space="preserve">Add provider, insurer and enterer rows at 1..1 to the B1 table in coverage-eligibility-request.md (via nhcx-package). Reconcile enterer type between registration-and-eligibility.md:97 and coverage-eligibility-request.md:148.</t>
  </si>
  <si>
    <t xml:space="preserve">No change to the pages; this check also found the Practitioner vs PractitionerRole conflict at registration-and-eligibility.md:97.</t>
  </si>
  <si>
    <t xml:space="preserve">CE-7</t>
  </si>
  <si>
    <t xml:space="preserve">TOC and body section numbers diverge from 7.4 onward.</t>
  </si>
  <si>
    <t xml:space="preserve">Handbook TOC defect only.</t>
  </si>
  <si>
    <t xml:space="preserve">Body numbering confirmed: 7.4 Usage Guidelines (l.688), 7.5 Request (l.696), 7.6 Response (l.735). The TOC is empty in the repo extraction (l.13), so the TOC mismatch cannot be checked.</t>
  </si>
  <si>
    <t xml:space="preserve">CE-8</t>
  </si>
  <si>
    <t xml:space="preserve">An undocumented dependency chain is load-bearing.</t>
  </si>
  <si>
    <t xml:space="preserve">getting-started/finding-participants-and-policies.md:103, roles/provider/registration-and-eligibility.md:46,80, catalogue/nhcx/decisions/eligibility-purpose.md:71,76 and catalogue/nhcx/concepts/coverage-eligibility-purposes.md:88 state lookup, then discovery, then validation.</t>
  </si>
  <si>
    <t xml:space="preserve">Chain stated only in 7.4 Discovery row (l.692).</t>
  </si>
  <si>
    <t xml:space="preserve">backend/provider/internal/api/coverage.go:25,177 falls back to discovery; the e2e run sent discovery, validation, auth-requirements in that order.</t>
  </si>
  <si>
    <t xml:space="preserve">registration-and-eligibility.md:84 still says discovery 'appears in no published sample' (package/fhir/B1/discovery.json and the live run contradict it); drop it. l.46 still cites 'the handbook' in the third person.</t>
  </si>
  <si>
    <t xml:space="preserve">PA-1</t>
  </si>
  <si>
    <t xml:space="preserve">Pre-authorisation</t>
  </si>
  <si>
    <t xml:space="preserve">Discharge has a workflow code but no endpoint.</t>
  </si>
  <si>
    <t xml:space="preserve">roles/provider/discharge-and-claim.md:35 says no discharge path is published, /v1/claim/submit is the natural home, confirm with the payer, and always send workflow 14. api/claim/index.md:27-28 and pmjay-provider.md:135 say PMJAY has no discharge step.</t>
  </si>
  <si>
    <t xml:space="preserve">4.1 l.302-303 defines 14 and 141 with no endpoint; 9.1 l.1062 says PMJAY has no separate discharge workflow. Figure 1.1 (image) unreadable, so the /preauth/submit claim is Unconfirmed.</t>
  </si>
  <si>
    <t xml:space="preserve">No app sends workflow 14. PMJAY profile goes straight to claim 15 (backend/provider/internal/payers/payers.go:157-165; nhcx/bundle.go:58).</t>
  </si>
  <si>
    <t xml:space="preserve">None for the issue. The unverified caveat is now in discharge-and-claim.md:35. Still drop the third-person 'the handbook describes' (l.35) and 'The handbook's advice' (l.37).</t>
  </si>
  <si>
    <t xml:space="preserve">discharge-and-claim.md:35 now says the endpoint is unconfirmed and to check with the payer, which does half of the earlier remaining fix.</t>
  </si>
  <si>
    <t xml:space="preserve">PA-4</t>
  </si>
  <si>
    <t xml:space="preserve">Pre-authorisation / Claim</t>
  </si>
  <si>
    <t xml:space="preserve">ClaimResponse.total array indices collapse six categories into two.</t>
  </si>
  <si>
    <t xml:space="preserve">preauthorisation-response.md:146,225 and claim-response.md:205-206 key totals by category (total[category=benefit], total[category=copay]), never by index.</t>
  </si>
  <si>
    <t xml:space="preserve">8.5.1 l.940-951, 9.5.2 and 10.5.1 repeat total[1] for benefit, tax, eligible, incentive, copayment.</t>
  </si>
  <si>
    <t xml:space="preserve">Provider reads totals by category: backend/provider/internal/nhcx/response.go:123-158. PMJAY samples carry benefit, submitted, tax, incentive, eligible separately (package/fhir/C5/C5-approved-wf21-pmjay.json).</t>
  </si>
  <si>
    <t xml:space="preserve">preauthorisation-response.md:166 still says PMJAY uses 'the generic shape'; list the tax and incentive totals the PMJAY samples add. claim-response.md:156 lists tax only; add incentive there too.</t>
  </si>
  <si>
    <t xml:space="preserve">PA-2</t>
  </si>
  <si>
    <t xml:space="preserve">Partial approval has no workflow code.</t>
  </si>
  <si>
    <t xml:space="preserve">reference/fhir/preauthorisation-response.md:142 says a reduced amount does not force outcome partial. The Answers tables (preauthorisation-response.md:118-124, claim-response.md:117-122) still have no partial-approval row.</t>
  </si>
  <si>
    <t xml:space="preserve">8.5 l.919 and 10.5 print a dash for Partially Approved workflow.</t>
  </si>
  <si>
    <t xml:space="preserve">Partial approval goes on 21/26 (backend/payer/internal/api/wire.go:32,39) with outcome partial plus reason approved (backend/payer/internal/fhir/claimresponse.go:149-165). PMJAY sends complete plus deductible (C7-approved-deduction-wf26-pmjay.json).</t>
  </si>
  <si>
    <t xml:space="preserve">Add 'Partially approved | 21 or 26 | complete or partial | approved' to the Answers tables at preauthorisation-response.md:118-124 and claim-response.md:117-122, saying only the amounts show the cut.</t>
  </si>
  <si>
    <t xml:space="preserve">PA-3</t>
  </si>
  <si>
    <t xml:space="preserve">Two values published in one single-valued field.</t>
  </si>
  <si>
    <t xml:space="preserve">preauthorisation-response.md:124 'Queried | 24 | partial | queried' and claim-response.md:121 'Queried | 27 | partial | queried' split outcome and reason; claim-response.md:126-128 explains partial.</t>
  </si>
  <si>
    <t xml:space="preserve">8.5 l.920 and 10.5 put 'partial / queried' in the ClaimResponse.outcome column; 8.5.3 resolves it correctly.</t>
  </si>
  <si>
    <t xml:space="preserve">backend/payer/internal/fhir/claimresponse.go:175-179 sends outcome partial with claim-level reason queried.</t>
  </si>
  <si>
    <t xml:space="preserve">PA-5</t>
  </si>
  <si>
    <t xml:space="preserve">Approved sample is internally inconsistent.</t>
  </si>
  <si>
    <t xml:space="preserve">preauthorisation-response.md:56-60 generic sample totals are consistent (150000). roles/provider/pmjay-provider.md:87-88 quotes the handbook's tax 100 and incentive 137 on 13,700 but not the contradictory copay/benefit figures.</t>
  </si>
  <si>
    <t xml:space="preserve">8.5.1 l.931-951: item copay 0, benefit 13700, tax 100, incentive 137, patient-liable copayment 700. 10.5.1 also shows benefit 13000 against item benefit 13700.</t>
  </si>
  <si>
    <t xml:space="preserve">Recorded PMJAY sample has no copayment total (package/fhir/C5/C5-approved-wf21-pmjay.json: benefit 1725, submitted 1725, tax 0, incentive 225, eligible 3795).</t>
  </si>
  <si>
    <t xml:space="preserve">None for the issue. Optional: cite the recorded PMJAY sample rather than the handbook figures at pmjay-provider.md:87-88.</t>
  </si>
  <si>
    <t xml:space="preserve">PA-7</t>
  </si>
  <si>
    <t xml:space="preserve">A preauth sample references a discharge summary.</t>
  </si>
  <si>
    <t xml:space="preserve">reference/fhir/preauthorisation-request.md:52-78 still renders package/fhir/B3/B3-request.json (use preauthorization, informationSequence 1-12). Its supportingInfo 5-8 are HDS, MB, IMP, FCF, hidden under 'and 9 more' (l.63).</t>
  </si>
  <si>
    <t xml:space="preserve">8.4 l.867 informationSequence [1,2,3,4,5]; supportingInfo[4] l.904-907 is discharge summary DIS/HDS on a preauth.</t>
  </si>
  <si>
    <t xml:space="preserve">Provider adds the discharge summary only on the claim leg: backend/provider/internal/nhcx/claimbundle.go:573-583. package/fhir/B3/preauth-request.json carries only MAND codes plus ADDD and EDT.</t>
  </si>
  <si>
    <t xml:space="preserve">Rebuild package/fhir/B3/B3-request.json without the HDS, MB, IMP and FCF entries (sequences 5-8), then regenerate reference/fhir/preauthorisation-request.md.</t>
  </si>
  <si>
    <t xml:space="preserve">PA-9</t>
  </si>
  <si>
    <t xml:space="preserve">Cancellation endpoint written two ways.</t>
  </si>
  <si>
    <t xml:space="preserve">cancel-reprocess-and-shortfall.md and the new skills (plugins/nhcx/skills/nhcx-claim/references/CORE.md:113-126) use v1/task/submit. Unprefixed /task/submit remains at roles/provider/provider-checklist.md:191 and catalogue/nhcx/tests/tc-cl-03.md:93.</t>
  </si>
  <si>
    <t xml:space="preserve">8.2 l.783 and 8.6 l.1006 use /task/submit; 10.4 l.1678, 10.5 l.1689 and 11.x l.1824,1837 use /v1/task/submit.</t>
  </si>
  <si>
    <t xml:space="preserve">Cancel and reprocess go on v1/task/submit: backend/provider/internal/nhcx/tasks.go:244. The e2e exchange table shows v1/task/submit 3 sent, 3 delivered.</t>
  </si>
  <si>
    <t xml:space="preserve">Change /task/submit to /v1/task/submit in roles/provider/provider-checklist.md:191 and catalogue/nhcx/tests/tc-cl-03.md:93, or mark them as quoting the NHA test sheet.</t>
  </si>
  <si>
    <t xml:space="preserve">Wrong in handbook, Left to fix, Needs NHA</t>
  </si>
  <si>
    <t xml:space="preserve">No change to the two stragglers; the new skills use the prefixed path.</t>
  </si>
  <si>
    <t xml:space="preserve">PA-6</t>
  </si>
  <si>
    <t xml:space="preserve">Diagnosis type codes not scoped, no value set cited.</t>
  </si>
  <si>
    <t xml:space="preserve">preauthorisation-request.md:71-72 and claim-request.md:69-70 show admitting (ex-diagnosistype) and yes (ex-diagnosis-on-admission). No rule in either page's Rules section says which types apply per leg. codes-and-value-sets.md:89 lists SNOMED 89100005 without scope.</t>
  </si>
  <si>
    <t xml:space="preserve">8.4 l.836,843 uses admitting and clinical; onAdmission 'y' (l.837) with no system.</t>
  </si>
  <si>
    <t xml:space="preserve">Provider sends admitting and onAdmission yes on every leg: backend/provider/internal/nhcx/claimbundle.go:45-46,265-266. Accepted live.</t>
  </si>
  <si>
    <t xml:space="preserve">Add a rule to preauthorisation-request.md (Rules, l.180+) and claim-request.md: diagnosis.type admitting from ex-diagnosistype on every leg, onAdmission yes/no from ex-diagnosis-on-admission. Scope or drop 89100005 at codes-and-value-sets.md:89.</t>
  </si>
  <si>
    <t xml:space="preserve">CL-1</t>
  </si>
  <si>
    <t xml:space="preserve">Claim</t>
  </si>
  <si>
    <t xml:space="preserve">Four candidate workflow codes for one exchange - answering a claim query. No two sources agree.</t>
  </si>
  <si>
    <t xml:space="preserve">161 for a PMJAY claim query answer, 151/19/16 refused (PAYR-1321): reference/troubleshooting.md:70, reference/fhir/claim-query-and-answer.md:394-411, claim-request.md:250, pmjay-use-cases.md:231, pmjay-provider.md:143; explorer data nhcx-workflows.json (151 and 27 entries). Leftover: workflow-codes.mdx:63 arrow shows only 151.</t>
  </si>
  <si>
    <t xml:space="preserve">4.1 lists 151 as CLAIM_QUERY_RESPONSE. But 9.5.1 (line 1336) and 9.5.6 (line 1438) say to resubmit a claim query on 19. 161 appears nowhere in the handbook. Figure 10 not checked (image).</t>
  </si>
  <si>
    <t xml:space="preserve">PMJAY table: SendClaimQueryResponse '161'. A comment records that 151/19/16 were refused with PAYR-1321 (backend/provider/internal/payers/payers.go:160-165). nanoemr sent 161 four times to 1518@hcx and each was acknowledged on 25 (nanoemr/data/cases/NM-26-0SH00000R/transactions.txt row 016).</t>
  </si>
  <si>
    <t xml:space="preserve">workflow-codes.mdx:63: label '151 (161 under PMJAY)'. claim-query-and-answer.md:5: 'wf 27 / 161'. discharge-and-claim.md:84: add 161 caveat. nhcx-claim.yaml:108,228 scenarios and catalogue/nhcx/flows/claim-query-response.md:94,117,144 say 151 with no PMJAY caveat. Handbook fix: Spec owner / NHA.</t>
  </si>
  <si>
    <t xml:space="preserve">Fixed in my docs, Wrong in handbook, Needs NHA</t>
  </si>
  <si>
    <t xml:space="preserve">The workflow explorer data now says PMJAY refuses 151 and takes 161; the diagram, page description and role page leftovers are unchanged.</t>
  </si>
  <si>
    <t xml:space="preserve">CL-2</t>
  </si>
  <si>
    <t xml:space="preserve">Reprocess</t>
  </si>
  <si>
    <t xml:space="preserve">The reprocess query path has no valid workflow code.</t>
  </si>
  <si>
    <t xml:space="preserve">254 is listed (cancel-reprocess-and-shortfall.md:581,605; nhcx-workflows.json 254 entry) with no answer code. workflow-codes.mdx:71-72 loops back with no code. nhcx-task.yaml:226 says 'on 254 respond with workflow 19', repeating the handbook error. flows/claim-reprocess.md:136 gives no code.</t>
  </si>
  <si>
    <t xml:space="preserve">10.5 (line 1709) says to answer 254 on 19, which 4.1 defines as a preauth query response. 4.1 has no reprocess-query-response code. Reprocess submission is 36 in 4.1 but 18 in 10.4 (line 1678).</t>
  </si>
  <si>
    <t xml:space="preserve">No app handles 254 (nothing found by grep in backend/ or nanoemr/emr). Live PMJAY reprocess goes 36, then 37 as response.partial, then the verdict on claim/on_submit as 26 or 291 (NM-26-0SH00002K rows 015-017). No 254 was observed.</t>
  </si>
  <si>
    <t xml:space="preserve">cancel-reprocess-and-shortfall.md: state that no answer code for 254 is published and none was observed live. Remove 'respond with workflow 19' from nhcx-task.yaml:226. Allocating a code is for Spec owner / NHA.</t>
  </si>
  <si>
    <t xml:space="preserve">No docs fix; the 'answer 254 on 19' line moved from nhcx-other.yaml to the new nhcx-task.yaml:226 and is still published.</t>
  </si>
  <si>
    <t xml:space="preserve">CL-4</t>
  </si>
  <si>
    <t xml:space="preserve">Claim / Reprocess</t>
  </si>
  <si>
    <t xml:space="preserve">Workflow code given as 'As appropriate'.</t>
  </si>
  <si>
    <t xml:space="preserve">Codes per scenario: reference/fhir/claim-request.md:250,256 (15 claim, 161 query answer under PMJAY, 14 provisional discharge); the Task matrix in cancel-reprocess-and-shortfall.md:18-24 (PC01/PC02, 36/37); nhcx-task.yaml:78 (36, PC01/PC02).</t>
  </si>
  <si>
    <t xml:space="preserve">9.3 and 10.3 Business Conditions both say 'Workflow Code | As appropriate'.</t>
  </si>
  <si>
    <t xml:space="preserve">PMJAY table in backend/provider/internal/payers/payers.go:157-172: 12, 121, 19, 13, 131, PC01, 15, 161, 17, 36. Live sends used 15, 161, 36 and PC01 (nanoemr transactions).</t>
  </si>
  <si>
    <t xml:space="preserve">None, except nhcx-task.yaml:111 scenario still says reprocess on 'workflow 18' (see RP-1).</t>
  </si>
  <si>
    <t xml:space="preserve">No change; the rewritten task spec When to use (nhcx-task.yaml:78) also names 36 and PC01/PC02.</t>
  </si>
  <si>
    <t xml:space="preserve">CL-5</t>
  </si>
  <si>
    <t xml:space="preserve">One endpoint means different things per scheme, undeclared.</t>
  </si>
  <si>
    <t xml:space="preserve">reference/fhir/claim-request.md:256 names 14 only 'where a payer supports one'; line 315 under PMJAY: 'There is no discharge submission'. roles/payer/adjudicating-claims.md:30 and pmjay-use-cases.md:399 agree.</t>
  </si>
  <si>
    <t xml:space="preserve">9.1 'PMJAY exception' (line 1060) puts this in prose only. Nothing in the envelope declares the scheme.</t>
  </si>
  <si>
    <t xml:space="preserve">The PMJAY adapter sends the claim on 15 with no 14 (payers.go:165). nanoemr sent 69 claims on 15 and none on 14 to PMJAY, and they were acknowledged on 25.</t>
  </si>
  <si>
    <t xml:space="preserve">None in docs. A scheme declaration in the envelope is for Spec owner / NHA.</t>
  </si>
  <si>
    <t xml:space="preserve">CL-6</t>
  </si>
  <si>
    <t xml:space="preserve">A decision-table column is not testable.</t>
  </si>
  <si>
    <t xml:space="preserve">reference/fhir/claim-response.md:117-122: 25 queued, 26 complete, 27 partial, 291 error, no totals column. Rule 1 at line 128 still says 'An acknowledgement and a query are both partial', contradicting the table.</t>
  </si>
  <si>
    <t xml:space="preserve">9.5.6 (line 1438): rejected = complete + cancelled with totals '0 or carried'. The 9.5.5 sample carries benefit 2700.00.</t>
  </si>
  <si>
    <t xml:space="preserve">Live PMJAY claim rejection: wf 291, outcome 'error', reason 'rejected', benefit 0 (21 captures, e.g. NM-26-0SH00000S/016-claim-in.json). 21 approvals had benefit 0, so the totals column cannot tell outcomes apart.</t>
  </si>
  <si>
    <t xml:space="preserve">claim-response.md:126-128 rule 1: change to 'the acknowledgement is queued, a query is partial'.</t>
  </si>
  <si>
    <t xml:space="preserve">CL-7</t>
  </si>
  <si>
    <t xml:space="preserve">Structured data smuggled through a display field.</t>
  </si>
  <si>
    <t xml:space="preserve">claim-response.md:157: display the audit trail, never parse a timestamp. The layout is given as 'USER~datetime~type~comment~trust' in nhcx-claim.yaml:221, adjudicating-preauthorisation.md:90, pmjay-provider.md:119 and catalogue fhir/query-update.md:92, but live the 5th field names the actor, not a trust.</t>
  </si>
  <si>
    <t xml:space="preserve">8.5.3 (line 982) shows PPD-Trust and 9.5.4 (line 1406) shows CPD-Trust. Not an inconsistency: PPD is the preauth desk and CPD the claim desk (roles/provider/pmjay-adjudication-apis.md:129-131).</t>
  </si>
  <si>
    <t xml:space="preserve">Live trail: '...|System~13/09/2026, 02:52~NA~null~CITY SUPERSPECIALITY HOSPITAL' (NM-26-0SH000007/010-preauth-in.json). The 5th field names the actor, not a fixed trust value.</t>
  </si>
  <si>
    <t xml:space="preserve">Optional: in those places call the 5th field the actor or organisation name, and say the trail is display-only. Moving the data to an extension is for Spec owner / NHA.</t>
  </si>
  <si>
    <t xml:space="preserve">No change in docs; the field layout was already published (missed earlier) and labels the 5th field 'trust'.</t>
  </si>
  <si>
    <t xml:space="preserve">CL-8</t>
  </si>
  <si>
    <t xml:space="preserve">TOC skips section numbers.</t>
  </si>
  <si>
    <t xml:space="preserve">Handbook table-of-contents defect. The docs do not reproduce the handbook's section numbering.</t>
  </si>
  <si>
    <t xml:space="preserve">9.5.2 to 9.5.5 are plain-text lines (1341, 1375, 1395, 1415), not headings, so the TOC jumps from 9.5.1 to 9.5.6.</t>
  </si>
  <si>
    <t xml:space="preserve">Wrong in handbook, Needs NHA</t>
  </si>
  <si>
    <t xml:space="preserve">PD-1</t>
  </si>
  <si>
    <t xml:space="preserve">Predetermination</t>
  </si>
  <si>
    <t xml:space="preserve">A live published use case is absent from the provider reference.</t>
  </si>
  <si>
    <t xml:space="preserve">reference/fhir/predetermination-status-and-search.md:16,261, concepts/nhcx-use-cases.mdx:209 and catalogue/nhcx/flows/predetermination.md:74 still say /v1/predetermination/submit only. C11 callback still reads /v1/predetermination/submit (l.303). roles/provider/preauthorisation.md mentions it only in frontmatter (l.17).</t>
  </si>
  <si>
    <t xml:space="preserve">The repo copy of the handbook has zero mentions of predetermination.</t>
  </si>
  <si>
    <t xml:space="preserve">APPS CONTRADICT DOCS: provider sends predetermination as the preauth bundle with Claim.use predetermination on /v1/preauth/submit (backend/provider/internal/api/nhcx_asks.go:562-570; nhcx_callback.go:41).</t>
  </si>
  <si>
    <t xml:space="preserve">Carry into predetermination-status-and-search.md and flows/predetermination.md what plugins/nhcx/skills/nhcx-preauth/references/CORE.md:48,112 now say: /v1/preauth/submit with use predetermination worked live. Fix C11 callback (l.303). Add body text to roles/provider/preauthorisation.md.</t>
  </si>
  <si>
    <t xml:space="preserve">The new nhcx-preauth skill now records the live preauth-route path; the docs pages and atom are unchanged.</t>
  </si>
  <si>
    <t xml:space="preserve">PD-3</t>
  </si>
  <si>
    <t xml:space="preserve">Future-tense framing actively misinforms.</t>
  </si>
  <si>
    <t xml:space="preserve">No future-tense predetermination framing in site/docs/nhcx or catalogue/nhcx. reference/fhir/predetermination-status-and-search.md:12 'specified and seldom used. Confirm support with the payer'.</t>
  </si>
  <si>
    <t xml:space="preserve">Handbook 6.1 (l.510) is InsurancePlan and contains no 'in future' text. No predetermination future-tense sentence found in any file under current/doc.</t>
  </si>
  <si>
    <t xml:space="preserve">Predetermination quote round trip worked (e2e scenario 'Predetermination: a quote before the request', 2/2).</t>
  </si>
  <si>
    <t xml:space="preserve">Fixed in my docs</t>
  </si>
  <si>
    <t xml:space="preserve">PD-2</t>
  </si>
  <si>
    <t xml:space="preserve">No /internal variants while every other use case has them.</t>
  </si>
  <si>
    <t xml:space="preserve">Working tree: 0 internal/v1 paths in any catalogue/openapi/nhcx/v1/*.yaml. HEAD still has them in claim (8), communication (3), eligibility (7), insurance-plan (4), payment-notice (3), preauth (4), predetermination (4). No api index page explains the omission.</t>
  </si>
  <si>
    <t xml:space="preserve">Handbook has no endpoint inventory for predetermination.</t>
  </si>
  <si>
    <t xml:space="preserve">Apps call only /v1 paths (backend/provider/internal/api/nhcx_callback.go:41). /internal/v1 exists only in package/apis .bru files. Live run used /v1 only.</t>
  </si>
  <si>
    <t xml:space="preserve">Commit the /internal removal (still uncommitted). Add one line to site/docs/nhcx/v1/api/index.md saying the /internal/v1 twins are omitted and why. Whether NHA meant predetermination to have none is for the spec owner / NHA.</t>
  </si>
  <si>
    <t xml:space="preserve">Fixed in my docs, Needs NHA</t>
  </si>
  <si>
    <t xml:space="preserve">ST-1</t>
  </si>
  <si>
    <t xml:space="preserve">Status and search</t>
  </si>
  <si>
    <t xml:space="preserve">Status path differs between DOCS and PORTAL.</t>
  </si>
  <si>
    <t xml:space="preserve">getting-started/status-and-search.md:81-87 'A note on the path' records /hcx/status vs /hcx/v1/status. Neither it nor catalogue/nhcx/endpoints/status.md records the sandbox refusal; status.md:166 explains NHCX-1012 only as a wrong correlation id.</t>
  </si>
  <si>
    <t xml:space="preserve">Handbook has no status section; the conflict is DOCS vs PORTAL.</t>
  </si>
  <si>
    <t xml:space="preserve">APPS CONTRADICT DOCS: backend/provider/internal/api/nhcx_asks.go:27-29 says the sandbox refuses v1/status outright (NHCX-1012) whatever the correlation id. A Task coded status on v1/task/submit worked with the test payer.</t>
  </si>
  <si>
    <t xml:space="preserve">In status-and-search.md and catalogue/nhcx/endpoints/status.md (near l.166), record that POST /v1/status was refused on the sandbox (HTTP 400, NHCX-1012, 2026-09-21). Document the status Task on /v1/task/submit, as plugins/nhcx/skills/nhcx-claim/references/CORE.md:126 now does.</t>
  </si>
  <si>
    <t xml:space="preserve">The new skills record the Task-based status route; the docs page and atom are unchanged.</t>
  </si>
  <si>
    <t xml:space="preserve">ST-2</t>
  </si>
  <si>
    <t xml:space="preserve">No request or response shape published in HANDBOOK.</t>
  </si>
  <si>
    <t xml:space="preserve">getting-started/status-and-search.md:40-64 and reference/fhir/predetermination-status-and-search.md give request and callback headers and response values for /v1/status. No docs page shows the Task-coded status shape on /v1/task/submit.</t>
  </si>
  <si>
    <t xml:space="preserve">Only 'status checks' in the Business Outcome Summary (l.42); no status section anywhere.</t>
  </si>
  <si>
    <t xml:space="preserve">Working status path is a Task coded status in financialtaskcode on /v1/task/submit (backend/provider/internal/api/nhcx_asks.go:206-207); PMJAY refuses it (payers adapter StatusEnquiry, l.197-203).</t>
  </si>
  <si>
    <t xml:space="preserve">The shapes describe /v1/status, which did not work live. Add the Task-based status shape (see ST-1); it exists only in the skills (nhcx-claim CORE.md:126).</t>
  </si>
  <si>
    <t xml:space="preserve">No change to the docs.</t>
  </si>
  <si>
    <t xml:space="preserve">ST-3</t>
  </si>
  <si>
    <t xml:space="preserve">The status enquiry's unique correlation rule is contradicted.</t>
  </si>
  <si>
    <t xml:space="preserve">getting-started/status-and-search.md:43,53, reference/envelope-fields.md:78 and getting-started/jwe-message-format.md:138 set correlation_id to the api_call_id of the message asked about. None marks the rule unverified.</t>
  </si>
  <si>
    <t xml:space="preserve">Handbook l.143 and l.189 say correlation_id must stay the same across the full lifecycle, with no exception. The exception comes from NHA's workbook; no live call has proved it.</t>
  </si>
  <si>
    <t xml:space="preserve">Not exercised: the sandbox refused /v1/status with NHCX-1012 whatever correlation id was sent (backend/provider/internal/api/nhcx_asks.go:27-29), so the exception is unproven.</t>
  </si>
  <si>
    <t xml:space="preserve">Mark the status correlation rule unverified at status-and-search.md:43, envelope-fields.md:78 and jwe-message-format.md:138 until a /v1/status call succeeds.</t>
  </si>
  <si>
    <t xml:space="preserve">The new jwe-message-format.md:138 repeats the rule, so there is now a third place to mark it unverified.</t>
  </si>
  <si>
    <t xml:space="preserve">PN-1</t>
  </si>
  <si>
    <t xml:space="preserve">Payment notice</t>
  </si>
  <si>
    <t xml:space="preserve">The field documented as the UTR does not carry a UTR.</t>
  </si>
  <si>
    <t xml:space="preserve">Scheme reference before 33: payment-notice-and-acknowledgement.md:165, roles/provider/payment-and-communication.md:39. Still asserted as fact: ref page 138, 170, 176, 212 ('Bank UTR Number'), 264; roles/payer/payment-notice-and-communication.md:31,47,100; nhcx-payment-notice.yaml:94,95,102,221; catalogue endpoints/paymentnotice-request.md:131.</t>
  </si>
  <si>
    <t xml:space="preserve">11.5 describes paymentIdentifier.value as 'UTR number for the bank transfer', sample PMJAY/HP/S/2024/R2/10000009/Normal. The implementation notes say to store it as the UTR for audit.</t>
  </si>
  <si>
    <t xml:space="preserve">86 live PMJAY notices, all wf 30. Every one was typed UTR but carried 'PMJAY/HP/S/2024/R2/&lt;case&gt;/Normal' (73) or 'Not available' (13), e.g. NM-26-0SH00000T/017-paymentnotice-in.json. No 31 or 33 was seen, so a bank UTR on 33 is unconfirmed.</t>
  </si>
  <si>
    <t xml:space="preserve">Mark 'bank UTR on 33' as unverified in those lines, and say that on 30 PMJAY sends a scheme reference or 'Not available' typed UTR.</t>
  </si>
  <si>
    <t xml:space="preserve">No change in docs; the API spec and payment atom also assert the UTR on 33 (not cited earlier).</t>
  </si>
  <si>
    <t xml:space="preserve">PN-2</t>
  </si>
  <si>
    <t xml:space="preserve">Two fields share one value, so neither can be a key.</t>
  </si>
  <si>
    <t xml:space="preserve">reference/fhir/payment-notice-and-acknowledgement.md:74-81: paymentIdentifier UTR1789064619092; detail ids PAY-2026-0009/TDS and /Payment are distinct from it.</t>
  </si>
  <si>
    <t xml:space="preserve">11.5: detail[1].id equals paymentIdentifier.value (PMJAY/HP/S/2024/R2/10000009/Normal). detail[0].id differs only by /TDS.</t>
  </si>
  <si>
    <t xml:space="preserve">Live PMJAY detail ids are '1652/&lt;case&gt;/N', '/RF' and '/Recovery'. None of 86 notices had a detail id equal to paymentIdentifier (NM-26-0SH00000T/017-paymentnotice-in.json).</t>
  </si>
  <si>
    <t xml:space="preserve">PN-3</t>
  </si>
  <si>
    <t xml:space="preserve">Sample arithmetic does not close against the claim sample.</t>
  </si>
  <si>
    <t xml:space="preserve">Sample coherent: 135000 net + 15000 TDS = 150000 approved (payment-notice-and-acknowledgement.md:39,76-84); line 163: deductions use scheme codes such as RF. Leftovers: roles/provider/payment-and-communication.md:40,76; roles/payer/adjudicating-claims.md:70; nhcx-payment-notice.yaml:94 'consistent with the gross claim amount'.</t>
  </si>
  <si>
    <t xml:space="preserve">11.5: 2187 net + 243 TDS = 2430. The note says this equals the gross claim, while the claim samples approve 13700.</t>
  </si>
  <si>
    <t xml:space="preserve">Live PMJAY: Payment 1656 + RF 414 = 2070, which is the approved benefit on wf 26 (NM-26-0SH00000T/014-claim-in.json and 017-paymentnotice-in.json). The deduction line is typed RF, not TDS.</t>
  </si>
  <si>
    <t xml:space="preserve">Role pages: say PMJAY deductions arrive as RF or other scheme codes, not only TDS. nhcx-payment-notice.yaml:94: 'consistent with the approved amount', not the gross claim.</t>
  </si>
  <si>
    <t xml:space="preserve">No change in docs; the spec's 'gross claim amount' line (nhcx-payment-notice.yaml:94) was not cited earlier.</t>
  </si>
  <si>
    <t xml:space="preserve">PN-4</t>
  </si>
  <si>
    <t xml:space="preserve">Two conventions for payer-push Task status.</t>
  </si>
  <si>
    <t xml:space="preserve">Each exchange shows its real value: payment notice Task requested (payment-notice-and-acknowledgement.md:36), notification Task completed (communication.md:88; rule 5 at line 187). No page states a rule for choosing.</t>
  </si>
  <si>
    <t xml:space="preserve">11.5 shows requested and 12.2 shows completed. Both match live traffic, so the handbook reports behaviour accurately. The inconsistency is in the design.</t>
  </si>
  <si>
    <t xml:space="preserve">PMJAY payment Task: requested/order in 86 of 86 notices. PMJAY N02 notification Task: completed/proposal (nanoemr/data/cases/unmatched/1000-communication-in.json).</t>
  </si>
  <si>
    <t xml:space="preserve">Add one line to payment-notice-and-acknowledgement.md and communication.md: payer-push Task.status differs by exchange, so do not key logic on it. Unifying the status is for Spec owner / NHA.</t>
  </si>
  <si>
    <t xml:space="preserve">Left to fix, Needs NHA</t>
  </si>
  <si>
    <t xml:space="preserve">PN-5</t>
  </si>
  <si>
    <t xml:space="preserve">Contract tables are built from SUBSETTED resources.</t>
  </si>
  <si>
    <t xml:space="preserve">reference/troubleshooting.md:132 and reference/fhir/index.md:291 explain SUBSETTED as a projection of the payer's record. No page says which elements are dropped; payment-notice-and-acknowledgement.md does not mention it.</t>
  </si>
  <si>
    <t xml:space="preserve">11.5 tables carry meta.tag SUBSETTED on every resource and do not say what is omitted.</t>
  </si>
  <si>
    <t xml:space="preserve">All 86 live PMJAY payment bundles and every resource in them carry SUBSETTED (NM-26-0SH00000R/025-paymentnotice-in.json).</t>
  </si>
  <si>
    <t xml:space="preserve">Spec owner / NHA to publish the full profile. Optionally link the SUBSETTED note from payment-notice-and-acknowledgement.md.</t>
  </si>
  <si>
    <t xml:space="preserve">PN-6</t>
  </si>
  <si>
    <t xml:space="preserve">A production typo documented as behaviour.</t>
  </si>
  <si>
    <t xml:space="preserve">Docs sample spelled correctly: 'Received the payment for claim NM-26-0SE00002L' (payment-notice-and-acknowledgement.md:114). Task.description is not marked free text or non-normative (rule at line 134).</t>
  </si>
  <si>
    <t xml:space="preserve">11.6 sample: 'Recived the payment EO26AA2700001'. The implementation notes say to validate it loosely.</t>
  </si>
  <si>
    <t xml:space="preserve">nanoemr sent 62 acknowledgements with 'Received the payment for claim &lt;no&gt;' on wf 17/30. No refusal was recorded. PMJAY's own notice descriptions are 'Payment initiated' or 'Payment Adjusted'.</t>
  </si>
  <si>
    <t xml:space="preserve">payment-notice-and-acknowledgement.md:134: add that Task.description is free text, not read by the payer, and must not drive logic.</t>
  </si>
  <si>
    <t xml:space="preserve">PN-7</t>
  </si>
  <si>
    <t xml:space="preserve">An acknowledgement is required and non-blocking at once.</t>
  </si>
  <si>
    <t xml:space="preserve">roles/provider/payment-and-communication.md:94: without the acknowledgement 'Under PMJAY, the shortfall window never opens'. payment-notice-and-acknowledgement.md:170 and roles/payer/payment-notice-and-communication.md:102 say the window opens once 33 is acknowledged.</t>
  </si>
  <si>
    <t xml:space="preserve">Implementation notes: failure to ACK 'does not block the payer but is required for complete lifecycle tracking'. No consequence is stated.</t>
  </si>
  <si>
    <t xml:space="preserve">Provider acknowledgements are sent on /v1/paymentnotice/on_request (nanoemr *-paymentnotice-ack-out.json). No 33 notice and no shortfall were exercised, so the stated consequence is not observed.</t>
  </si>
  <si>
    <t xml:space="preserve">Mark the 'shortfall window needs ack of 33' consequence as unverified until a live 33 or shortfall run.</t>
  </si>
  <si>
    <t xml:space="preserve">No change; the provider page line moved from 117 to 94.</t>
  </si>
  <si>
    <t xml:space="preserve">CM-1</t>
  </si>
  <si>
    <t xml:space="preserve">Communication</t>
  </si>
  <si>
    <t xml:space="preserve">The FHIR resource type is ambiguous within one section.</t>
  </si>
  <si>
    <t xml:space="preserve">reference/fhir/communication.md:18-72,173: request is Task + CommunicationRequest, answer is Communication. Still wrong: roles/payer/payment-notice-and-communication.md:80-84, roles/provider/payment-and-communication.md:65, and nhcx-communication.yaml:63,321 ('Task plus Communication bundle').</t>
  </si>
  <si>
    <t xml:space="preserve">12.1 says the bundle carries a CommunicationRequest. The 12.2 table documents Communication.*, while Task.input valueReference points at a /CommunicationRequest/ URL.</t>
  </si>
  <si>
    <t xml:space="preserve">Live PMJAY N02 carries a CommunicationRequest; Task.input points at /CommunicationRequest/ with display 'Communication' (unmatched/1000-communication-in.json). The XYZ test payer query is a CommunicationRequest and the reply a Communication (ledger 7UPK003T/7UPK003V).</t>
  </si>
  <si>
    <t xml:space="preserve">Rewrite payer page 78-88, provider page 65 and nhcx-communication.yaml:63,321: the payer sends a CommunicationRequest; the provider's answer to a query is a Communication.</t>
  </si>
  <si>
    <t xml:space="preserve">No change in docs; the rewritten communication spec summary still says 'Task plus Communication bundle'.</t>
  </si>
  <si>
    <t xml:space="preserve">CM-5</t>
  </si>
  <si>
    <t xml:space="preserve">The sandbox emits reversed organisation identifier types.</t>
  </si>
  <si>
    <t xml:space="preserve">reference/fhir/communication.md:193 rule 6: 'Take each organisation's role from Organization.type, not from the identifier type.' The docs do not repeat the reversal claim.</t>
  </si>
  <si>
    <t xml:space="preserve">12.3 (line 2023+): 'Org 25724=NIIP, Org 7078=NPI (reversed...)', labelled a data-quality issue.</t>
  </si>
  <si>
    <t xml:space="preserve">The live PMJAY N02 request had correct types: NIIP on payer 1518@hcx, NPI on the provider (unmatched/1000-communication-in.json). The provider ack keeps identifier types and only reorders (communication.go:348-430). No sandbox-authored ACK was captured.</t>
  </si>
  <si>
    <t xml:space="preserve">Spec owner / NHA. Keep rule 6.</t>
  </si>
  <si>
    <t xml:space="preserve">No change; rule 6 is now at line 193.</t>
  </si>
  <si>
    <t xml:space="preserve">CM-8</t>
  </si>
  <si>
    <t xml:space="preserve">The gateway validates a workflow code that is never defined.</t>
  </si>
  <si>
    <t xml:space="preserve">communication.md:215,221,243-246,265 list 24, 241, 27 and N02. Header examples still show x-hcx-workflow_id '15' (communication.md:234,278). nhcx-communication.yaml:71,102 say the workflow must match the related claim or preauth, and the shared parameter example is '15' (line 547).</t>
  </si>
  <si>
    <t xml:space="preserve">12.1 says the gateway validates the workflow ID. No Communication code is in 4.1/4.2; 24/27 appear only as payer 'queried' codes.</t>
  </si>
  <si>
    <t xml:space="preserve">The payer app sends queries on 24/241/27 (backend/payer/internal/api/wire.go:34-40, communication.go:69-74). Live: communication/request on 24 and 27 was accepted (ledger 7UPK002L, 7UPK003T), and PMJAY sent N02.</t>
  </si>
  <si>
    <t xml:space="preserve">communication.md:234,278 and nhcx-communication.yaml:547: use '24' or '27' (or 'N02' for a notification). nhcx-communication.yaml:71,102: say the code is the query or notification code, not the claim's.</t>
  </si>
  <si>
    <t xml:space="preserve">No change in the reference page; the rewritten spec still ties the code to the claim's workflow.</t>
  </si>
  <si>
    <t xml:space="preserve">CM-3</t>
  </si>
  <si>
    <t xml:space="preserve">Two Task.intent values across five Task-bearing use cases.</t>
  </si>
  <si>
    <t xml:space="preserve">reference/fhir/communication.md:173: 'intent is order on a request and proposal on a notification'. roles/payer/payment-notice-and-communication.md:80 still says 'intent = proposal' for every communication.</t>
  </si>
  <si>
    <t xml:space="preserve">12.2 shows proposal and does not say it applies only to notifications. 6.4, 8.6, 10.4 and 11.5 all show order.</t>
  </si>
  <si>
    <t xml:space="preserve">Live PMJAY N02 notification: intent proposal (unmatched/1000-communication-in.json). The XYZ test payer query Task is order (ledger 7UPK003T). The provider's notification ack keeps proposal (backend/provider/internal/nhcx/communication.go:445).</t>
  </si>
  <si>
    <t xml:space="preserve">roles/payer/payment-notice-and-communication.md:80: order for a query, proposal for a notification.</t>
  </si>
  <si>
    <t xml:space="preserve">The spec rewrite dropped 'keep Task.intent proposal' from the on_request text; the payer role page is unchanged.</t>
  </si>
  <si>
    <t xml:space="preserve">CM-4</t>
  </si>
  <si>
    <t xml:space="preserve">Task.status carries no actionable state.</t>
  </si>
  <si>
    <t xml:space="preserve">reference/fhir/communication.md:187-189 rule 5 'completed is the event': Task.status and Communication.status read completed on delivery; do not close a case on them.</t>
  </si>
  <si>
    <t xml:space="preserve">12.2/12.3 show status completed on both the request and the ACK. The implementation notes explain this reflects the event, which matches live traffic.</t>
  </si>
  <si>
    <t xml:space="preserve">Live PMJAY N02 Task: status completed (unmatched/1000-communication-in.json). The XYZ test payer query Task is requested and the provider reply completed (ledger 7UPK003T/003V).</t>
  </si>
  <si>
    <t xml:space="preserve">None in docs. A distinguishing status is for Spec owner / NHA.</t>
  </si>
  <si>
    <t xml:space="preserve">No change; rule 5 is now at line 187.</t>
  </si>
  <si>
    <t xml:space="preserve">CM-6</t>
  </si>
  <si>
    <t xml:space="preserve">Bundle entry order presented as semantically significant.</t>
  </si>
  <si>
    <t xml:space="preserve">communication.md does not treat entry order as meaningful. Role pages still do: roles/payer/payment-notice-and-communication.md:86-90 ('Payer first', ACK 'provider Organization first') and roles/provider/payment-and-communication.md:67.</t>
  </si>
  <si>
    <t xml:space="preserve">12.3 lists 'Organization entry order: provider first' as a field that differs in the ACK.</t>
  </si>
  <si>
    <t xml:space="preserve">The provider app puts the provider Organization first to copy the handbook (backend/provider/internal/nhcx/communication.go:348-351, 384-428). No live evidence shows a payer relying on the order.</t>
  </si>
  <si>
    <t xml:space="preserve">Role pages: drop the ordering claim or state that entry order is not significant; the ACK is recognised by endpoint and correlation id.</t>
  </si>
  <si>
    <t xml:space="preserve">CM-7</t>
  </si>
  <si>
    <t xml:space="preserve">One Task code used for opposite directions.</t>
  </si>
  <si>
    <t xml:space="preserve">The docs faithfully record poll for the plan fetch (reference/fhir/insurance-plan-request.md:32) and the communication push (communication.md:173).</t>
  </si>
  <si>
    <t xml:space="preserve">6.4 and 12.2 both use Task.code poll. That matches live traffic, so the defect is in the design.</t>
  </si>
  <si>
    <t xml:space="preserve">Live PMJAY N02 Task.code is poll (unmatched/1000-communication-in.json). The XYZ test payer query Task is poll (ledger 7UPK003T).</t>
  </si>
  <si>
    <t xml:space="preserve">CM-2</t>
  </si>
  <si>
    <t xml:space="preserve">Duplicate section number.</t>
  </si>
  <si>
    <t xml:space="preserve">The docs do not use the handbook's section numbers.</t>
  </si>
  <si>
    <t xml:space="preserve">Two '### 12.1' headings (lines 1946 and 1967). 12.3 (line 2023) is plain text, not a heading.</t>
  </si>
  <si>
    <t xml:space="preserve">RP-1</t>
  </si>
  <si>
    <t xml:space="preserve">Task / Reprocess</t>
  </si>
  <si>
    <t xml:space="preserve">One endpoint carries five semantics with no published dispatch matrix.</t>
  </si>
  <si>
    <t xml:space="preserve">Matrix: cancel-reprocess-and-shortfall.md:18-24; release and nullify 'Not published'; nhcx-task.yaml:78 names 36 and PC01/PC02. Still wrong: 37 listed as response.complete (line 607; nhcx-workflows.json 37 entry); nhcx-task.yaml:111 scenario says reprocess on 'workflow 18' acknowledged on 251.</t>
  </si>
  <si>
    <t xml:space="preserve">10.4 lists reprocess, cancel, release and nullify with no matrix. Cancel is 122 in 8.6 (line 1006) but PC01 in 4.1. Reprocess is 18 in 10.4 but 36 in 4.1. 11.4 puts the payment ACK (17) on /v1/task/submit.</t>
  </si>
  <si>
    <t xml:space="preserve">Live PMJAY: cancel on PC01 gives PC02 (NM-26-0SH000007/016); reprocess on 36 gives 37 as response.partial. The payment ACK goes on paymentnotice/on_request. The app sends release on 36 (payers.go:172).</t>
  </si>
  <si>
    <t xml:space="preserve">Line 607 and nhcx-workflows.json: note live 37 is response.partial. nhcx-task.yaml:111: 36 and 37, not 18 and 251. Row 23: note the apps send release on 36 (not verified live).</t>
  </si>
  <si>
    <t xml:space="preserve">No change in the reference page; the new nhcx-task.yaml still carries the handbook's 18/251 in its scenario.</t>
  </si>
  <si>
    <t xml:space="preserve">RP-2</t>
  </si>
  <si>
    <t xml:space="preserve">A misspelled field name is in live production traffic.</t>
  </si>
  <si>
    <t xml:space="preserve">intimationNumber only: cancel-reprocess-and-shortfall.md:68,125,332,336; catalogue concepts/reprocess-and-cancel.md, fhir/preauth-cancel.md and fhir/task.md now also switched from initimationNumber. whats-new/2026-09-23.mdx:24 records the change. No live capture shows PMJAY taking intimationNumber: Unconfirmed.</t>
  </si>
  <si>
    <t xml:space="preserve">10.4 (line 1670) notes the real payload uses initimationNumber. NHA's own sample preauth_cancel_req.txt and Standard Error Codes (row 68) both use initimationNumber.</t>
  </si>
  <si>
    <t xml:space="preserve">The PAYR-1008 claim is unproven. Its only sources are code comments (backend/provider/internal/nhcx/tasks.go:92-95, nanoemr/emr/fhir/claimbundle.py:742-745). No capture exists. 1518@hcx took initimationNumber on cancel: PC02, 'Message Submitted', 20+ times (e.g. NM-26-0SH000007/015-016).</t>
  </si>
  <si>
    <t xml:space="preserve">plugins/nhcx/skills/*/fhir/F10-task-claim-actions.md:21 (5 skills) still claims PMJAY refuses initimationNumber on reprocess with PAYR-1008; unproven, reword. Record that 1518@hcx accepted initimationNumber on cancel.</t>
  </si>
  <si>
    <t xml:space="preserve">The catalogue atoms and whats-new now use intimationNumber too; the skills' unproven PAYR-1008 claim moved to the new F10 file.</t>
  </si>
  <si>
    <t xml:space="preserve">RP-3</t>
  </si>
  <si>
    <t xml:space="preserve">The nested response shape exists in only one source.</t>
  </si>
  <si>
    <t xml:space="preserve">cancel-reprocess-and-shortfall.md:19-36 and rule 6 (line 352): 37, then the verdict on the claim's thread; skills F10-task-claim-actions.md:34 agree. Contradicting: adjudicating-claims.md:76, discharge-and-claim.md:87, workflow-codes.mdx:67-72, nhcx-task.yaml:111,232, flows/claim-reprocess.md:113-146 (verdict on task/on_submit 252/253).</t>
  </si>
  <si>
    <t xml:space="preserve">10.5: Task.status completed, with the ClaimResponse in Task.output carrying the decision on 252/253/254.</t>
  </si>
  <si>
    <t xml:space="preserve">Live PMJAY: 37 response.partial, Task accepted/approve, output pointing at a ClaimResponse 'queued'; the verdict then comes on claim/on_submit 26/291 (NM-26-0SH00000S/019-task-in.json, NM-26-0SH00002K/017). The XYZ test payer sends it on task/on_submit 252/253 (wire.go:45-46).</t>
  </si>
  <si>
    <t xml:space="preserve">Reconcile those lines with the reference: PMJAY sends the verdict on the claim thread (26/291); the XYZ test payer app sends it on task/on_submit 252/253.</t>
  </si>
  <si>
    <t xml:space="preserve">No change in docs; the contradicting spec and atom lines (not cited earlier) remain.</t>
  </si>
  <si>
    <t xml:space="preserve">RP-4</t>
  </si>
  <si>
    <t xml:space="preserve">Transcription error in the approved-response sample.</t>
  </si>
  <si>
    <t xml:space="preserve">No '13000' figure in site/docs/nhcx, catalogue/nhcx, the NHCX specs or plugins/nhcx.</t>
  </si>
  <si>
    <t xml:space="preserve">10.5.1: item benefit 13700 but total[1] 'Grand total approved' 13000 (line 1736).</t>
  </si>
  <si>
    <t xml:space="preserve">RP-5</t>
  </si>
  <si>
    <t xml:space="preserve">Description contradicts the value.</t>
  </si>
  <si>
    <t xml:space="preserve">The docs reprocess answer shows use 'claim' without the preauthorization description (cancel-reprocess-and-shortfall.md:311). No 'Response for a preauthorization' text anywhere.</t>
  </si>
  <si>
    <t xml:space="preserve">10.5.1: ClaimResponse.use = claim, described as 'Response for a preauthorization request'.</t>
  </si>
  <si>
    <t xml:space="preserve">The live PMJAY reprocess ack ClaimResponse has use 'claim' (NM-26-0SH00000S/019-task-in.json). The value is right; the handbook's description is wrong.</t>
  </si>
  <si>
    <t xml:space="preserve">RP-6</t>
  </si>
  <si>
    <t xml:space="preserve">'Calim' for 'Claim' in three disposition samples.</t>
  </si>
  <si>
    <t xml:space="preserve">No 'Calim' in site/docs/nhcx, catalogue/nhcx, the NHCX specs or plugins/nhcx.</t>
  </si>
  <si>
    <t xml:space="preserve">'Calim APPROVED' at line 1723 and 'Calim PARTIALLY APPROVED' at line 1751. This copy has two occurrences, not the three the issue states.</t>
  </si>
  <si>
    <t xml:space="preserve">RP-7</t>
  </si>
  <si>
    <t xml:space="preserve">Code and display conflated in a note.</t>
  </si>
  <si>
    <t xml:space="preserve">Rejection is `rejected` Rejected (claim-response.md:122); cancellation is `cancelled` Cancelled (cancel-reprocess-and-shortfall.md:261, rule 6 at 352). The '253 rejected with reason cancelled, display Rejected' text in HEAD nhcx-other.yaml:91,202 is absent from the new nhcx-task.yaml.</t>
  </si>
  <si>
    <t xml:space="preserve">10.5.4 table: code cancelled, display Rejected. The note calls the reason 'Rejected'. A rejection does not use code cancelled live.</t>
  </si>
  <si>
    <t xml:space="preserve">Live PMJAY claim rejection: reason code 'rejected', display Rejected, outcome error, wf 291 (NM-26-0SH00000S/016-claim-in.json). PMJAY cancellation (PC02): 'cancelled'/Cancelled, outcome complete (NM-26-0SH000007/016-task-in.json).</t>
  </si>
  <si>
    <t xml:space="preserve">The rewritten task spec no longer repeats the handbook's cancelled/Rejected pairing.</t>
  </si>
  <si>
    <t xml:space="preserve">RG-1</t>
  </si>
  <si>
    <t xml:space="preserve">Participant registry</t>
  </si>
  <si>
    <t xml:space="preserve">The certificate fetch host is missing a path segment.</t>
  </si>
  <si>
    <t xml:space="preserve">getting-started/fetching-a-recipient-certificate.md:18 and catalogue/nhcx/endpoints/fetch-certs.md:86 use https://apisbx.abdm.gov.in/pmjay/sbxhcx/participanthcxservice/fetch/certs.</t>
  </si>
  <si>
    <t xml:space="preserve">Handbook 3.3: POST /fetch/certs, Host apisbx.abdm.gov.in/pmjay/sbxhcx, missing /participanthcxservice. Its own 5.5 uses .../participanthcxservice/fetch/participants/list.</t>
  </si>
  <si>
    <t xml:space="preserve">nhcx-adapter/internal/abdm/client.go FetchCertificate posts to URLs.Participant + /fetch/certs, i.e. .../pmjay/sbxhcx/participanthcxservice/fetch/certs, with {participantid}.</t>
  </si>
  <si>
    <t xml:space="preserve">RG-6</t>
  </si>
  <si>
    <t xml:space="preserve">ABHA biometric</t>
  </si>
  <si>
    <t xml:space="preserve">A mandatory gate has documented failures but no documented happy path.</t>
  </si>
  <si>
    <t xml:space="preserve">roles/provider/biometric-authentication.md: :91 fingerprint and iris curls, :215 face auth, :303 tokens, :334 'When biometrics are not possible', :378 what to test. api/biometric/endpoints has 6 operations.</t>
  </si>
  <si>
    <t xml:space="preserve">Confirmed: only PAYR-1256, 1271, 1272, 1363, 1366, 1367 and 1369 mention biometrics. There is no biometric contract.</t>
  </si>
  <si>
    <t xml:space="preserve">No app calls a biometric endpoint. Per the e2e report, the EMR sends the Authentication Consent Questionnaire instead, which the payer accepted (PAYR-1256 alternative).</t>
  </si>
  <si>
    <t xml:space="preserve">None. The biometric happy path has never been run live because it needs a capture device.</t>
  </si>
  <si>
    <t xml:space="preserve">RG-2</t>
  </si>
  <si>
    <t xml:space="preserve">20 of 23 registry endpoints have no coverage.</t>
  </si>
  <si>
    <t xml:space="preserve">site/docs/nhcx/v1/api/registry/endpoints has all 23 registry operations incl. registry-v2-update-cert.mdx and the V2 link/delink/get-policies set. Prose: creating-and-updating-a-participant.md:168-186 'Replacing only the certificate'; finding-participants-and-policies.md:113,142-145 link and delink.</t>
  </si>
  <si>
    <t xml:space="preserve">Handbook covers only fetch/participants/list (5.5), get/policies (5.6) and /fetch/certs (3.3).</t>
  </si>
  <si>
    <t xml:space="preserve">nhcx-adapter/internal/server/kitcompat.go:324-349 proxies participant/get/policies, participant/link|delink/abha/policy and fetch/participants/list. The e2e run passed list, policies and certs; link was refused with NHCX-1048 (registration data at NHA).</t>
  </si>
  <si>
    <t xml:space="preserve">None for the docs. Cert rotation (v2/update/cert) has not been run live (e2e report scope).</t>
  </si>
  <si>
    <t xml:space="preserve">RG-3</t>
  </si>
  <si>
    <t xml:space="preserve">Inconsistent capitalisation of the version segment.</t>
  </si>
  <si>
    <t xml:space="preserve">api/registry/index.md:18 now notes three paths carry uppercase /V2/, the spec does not state case sensitivity, and says to send each exactly as printed. nhcx-registry.yaml keeps /V2/ as published. Atoms still assert 404 on lower-case v2: v2-participant-get-policies.md:105, link:97, delink:95.</t>
  </si>
  <si>
    <t xml:space="preserve">The handbook uses no V2 registry paths.</t>
  </si>
  <si>
    <t xml:space="preserve">Go apps call only the non-V2 paths (nhcx-adapter/internal/server/kitcompat.go:324-339). The Bruno collection uses /V2/ (package/apis/10-registry/v2-participant-get-policies.bru:8). Casing has never been tested live.</t>
  </si>
  <si>
    <t xml:space="preserve">Registry index case note is done. Still: mark the atoms' '404 on lower-case v2' claim unconfirmed (catalogue/nhcx/endpoints/v2-participant-*.md) or test it. Spec owner / NHA to normalise casing.</t>
  </si>
  <si>
    <t xml:space="preserve">The case-sensitivity note asked for is now on api/registry/index.md:18; the unverified atom claim remains.</t>
  </si>
  <si>
    <t xml:space="preserve">RG-4</t>
  </si>
  <si>
    <t xml:space="preserve">Two unrelated endpoints share the name /get/session.</t>
  </si>
  <si>
    <t xml:space="preserve">session-token.md:73-84 table contrasts gateway sessions with participant /get/session. api/registry/index.md:16 warns '/get/session is not the gateway sessions call'. The get/session description (nhcx-registry.yaml:64-108) no longer repeats the handbook's bare apisbx.abdm.gov.in host.</t>
  </si>
  <si>
    <t xml:space="preserve">Handbook 3.1 presents /get/session on bare apisbx.abdm.gov.in as the NHCX authentication endpoint, which mixes up the two calls.</t>
  </si>
  <si>
    <t xml:space="preserve">nhcx-adapter/internal/config/config.go:130-135 and internal/abdm/client.go:209-231 model both calls as separate auth modes with different bodies and headers.</t>
  </si>
  <si>
    <t xml:space="preserve">Earlier fix is done at module level. Optional: nhcx-registry.yaml:20,52,69 call /get/session 'the first call any integration makes'; point that to the gateway sessions call, since the FAQ note was dropped in the rewrite.</t>
  </si>
  <si>
    <t xml:space="preserve">The handbook host and FAQ note were removed from the get/session prose and an explicit warning was added to the registry API index.</t>
  </si>
  <si>
    <t xml:space="preserve">RG-7</t>
  </si>
  <si>
    <t xml:space="preserve">Biometrics span two bases; a one-base client fails on face auth only.</t>
  </si>
  <si>
    <t xml:space="preserve">getting-started/base-urls.md:30,39,51 'Biometrics span two bases'; environments-and-addresses.md full sandbox table gives /hcx/abha/biometric and /pmjay/sbxhcx/abdmproxy/abha/biometric; biometric-authentication.md:50-55. Production ABDM proxy base now added (base-urls.md:30).</t>
  </si>
  <si>
    <t xml:space="preserve">The handbook's two-base model (3.2) has no biometric endpoints.</t>
  </si>
  <si>
    <t xml:space="preserve">No app evidence. package/apis/environments/sandbox.bru defines abdmProxyBase separately from nhcxBase.</t>
  </si>
  <si>
    <t xml:space="preserve">None. The production ABDM proxy base (apisprod.nha.gov.in/pmjay/hcx/abdmproxy) is unverified, as for 2.1.</t>
  </si>
  <si>
    <t xml:space="preserve">A production row for the ABDM proxy was added to the base tables.</t>
  </si>
  <si>
    <t xml:space="preserve">RG-9</t>
  </si>
  <si>
    <t xml:space="preserve">Other</t>
  </si>
  <si>
    <t xml:space="preserve">Error return, delete and notification endpoints are absent.</t>
  </si>
  <si>
    <t xml:space="preserve">api/other/endpoints has /v1/error, /v1/delete, /v1/notification/subscribe, on_subscribe, /v1/on_status (plus webhook pages). receiving-a-callback.md:37,73 explains hosting /v1/error. jwe-message-format.md:19,220-226,252 covers /v1/error, protocol responses with response.error and x-hcx-error_details.</t>
  </si>
  <si>
    <t xml:space="preserve">Confirmed: no /v1/error, delete, notification or on_status anywhere in the handbook.</t>
  </si>
  <si>
    <t xml:space="preserve">nhcx-adapter/internal/adapter/adapter.go:449 accepts a JWE-less ProtocolResponse or /v1/error notice. headers.go:107 maps v1/error and v1/on_status. A /v1/status sent through the gateway got HTTP 400 (e2e UC-13).</t>
  </si>
  <si>
    <t xml:space="preserve">None for coverage. Docs describe /v1/error as exchange-to-participant (api/other/index.md:29); one sentence on direction versus the issue's participant return path would help. /v1/error never exercised live.</t>
  </si>
  <si>
    <t xml:space="preserve">No change beyond the new jwe-message-format.md page restating the /v1/error and protocol response rules.</t>
  </si>
  <si>
    <t xml:space="preserve">RG-5</t>
  </si>
  <si>
    <t xml:space="preserve">Onboarding</t>
  </si>
  <si>
    <t xml:space="preserve">Onboarding is entirely absent from HANDBOOK.</t>
  </si>
  <si>
    <t xml:space="preserve">getting-started/creating-and-updating-a-participant.md:17 sandbox create, :68 update, :99 production four steps, :168 cert-only update, :187 checking. api/onboarding/endpoints has 5 operations incl. v2-participant-create and v2-participant-hementity-create.</t>
  </si>
  <si>
    <t xml:space="preserve">The handbook starts at payer discovery (5.5); there is no onboarding section.</t>
  </si>
  <si>
    <t xml:space="preserve">No app evidence. Participants were pre-registered; the e2e report puts onboarding out of scope.</t>
  </si>
  <si>
    <t xml:space="preserve">RG-8</t>
  </si>
  <si>
    <t xml:space="preserve">PMJAY adjudicator</t>
  </si>
  <si>
    <t xml:space="preserve">Adjudicator API absent, and it spans two hosts.</t>
  </si>
  <si>
    <t xml:space="preserve">roles/provider/pmjay-adjudication-apis.md:36-49 'Two endpoints, two hosts' (user-role on apisbx.abdm.gov.in/pmjay/sbxhcx/nhcxpayerservice, process/case on apisbeta.nha.gov.in). The PMJAY payer service row is gone from base-urls.md and environments base tables; only the header row remains (environments:71).</t>
  </si>
  <si>
    <t xml:space="preserve">The handbook has no adjudicator or payer-service section.</t>
  </si>
  <si>
    <t xml:space="preserve">backend/provider/internal/config/config.go:142-143 and config.example.json:22-23 use apisbx.../nhcxpayerservice/v1/get/user-role and apisbeta.nha.gov.in/.../wrapper/process/case.</t>
  </si>
  <si>
    <t xml:space="preserve">Spec owner / NHA: confirm apisbeta is intended; pmjay-adjudication-apis.md:48-49 asserts it is 'not a documentation error' without evidence. Production for the payer service is now stated nowhere; add 'not published, confirm at onboarding' to that page.</t>
  </si>
  <si>
    <t xml:space="preserve">The base-table row that said production was not published was removed, so production is now unstated; sandbox coverage unchanged.</t>
  </si>
  <si>
    <t xml:space="preserve">ER-1</t>
  </si>
  <si>
    <t xml:space="preserve">Error codes</t>
  </si>
  <si>
    <t xml:space="preserve">The two PAYR- code spaces collide across their entire overlap. All 20 codes in PAYR-1001 to PAYR-1020 exist on both the standard payer sheet and the reference payer's Bridge Error sheet, and 18 of the 20 carry a different meaning on each.</t>
  </si>
  <si>
    <t xml:space="preserve">error-code-guide.md:34-60 keeps the 18-code collision table; error-code-spaces.md:153; error-codes.md:15 banner. pmjay-error-codes.mdx:19 states it and links the guide, but in its table all 18 colliding rows show a plain text cut off at 'has two meanings, depending on which payer sent it:' and no message.</t>
  </si>
  <si>
    <t xml:space="preserve">D6 (Handbook.md:2456+) uses the reference readings with no collision note. D4 line 2430 prints PAYR-1005 with the standard-sheet text ('Beneficiary is not a covered member'), so the handbook mixes both spaces and flags neither. Copied from the Standard Error Codes.md Claim sheet tail.</t>
  </si>
  <si>
    <t xml:space="preserve">PMJAY live sent the reference readings. PAYR-1008 'invalid input, code and reason code': backend/provider/internal/nhcx/tasks.go:94 (2026-09-08). PAYR-1008 content type: nhcx_claim.go:287. PAYR-1018 no reason code: nanoemr/emr/payers.py:125. PAYR-1019 sequence: claimbundle.go:284.</t>
  </si>
  <si>
    <t xml:space="preserve">Docs: in scripts/build-api-reference.mjs:1248 take the whole 'In plain words' section (or the list after the colon) for the 18 collision rows so pmjay-error-codes.mdx shows both readings with their payer. Otherwise Spec owner / NHA.</t>
  </si>
  <si>
    <t xml:space="preserve">The new Error codes tab states the collision, but its 18 colliding rows render a truncated sentence with no readings.</t>
  </si>
  <si>
    <t xml:space="preserve">ER-1b</t>
  </si>
  <si>
    <t xml:space="preserve">(four code spaces): 309 distinct codes across 7 sheets, in four spaces: Gateway NHCX- (19 codes), standard payer PAYR-1001 to 1020 (20), reference payer PAYR-1001 to 1520 (290), and one observed-live ERR-PYR- code on no sheet. Source workbook last updated 11 Aug 2026.</t>
  </si>
  <si>
    <t xml:space="preserve">error-code-guide.md:24-29 still has the four-space map with 'Observed live 1'. pmjay-error-codes.mdx:17 describes ERR-PYR- as live-only; nhcx-errors.json has only ERR-PYR-CLM-007. ERR-PYR-PRE-030 is in no atom, no docs page, no data file and not in package/nhcx-error.yaml. The 15 uncoded Bridge messages are still uncounted.</t>
  </si>
  <si>
    <t xml:space="preserve">Appendix D (Handbook.md:2222-2595) has no space map and no ERR-PYR- code. It lists sheet by sheet with no owner per prefix.</t>
  </si>
  <si>
    <t xml:space="preserve">ERR-PYR-PRE-030 was met live: backend/provider/internal/api/nhcx_preauth.go:298, migrations/postgres/0002_enhancement_of.sql:7 ('No prior preauthorization found for case number'). nanoemr/selftest.py:2965 gives another text for it ('Active instance found for case number').</t>
  </si>
  <si>
    <t xml:space="preserve">Add catalogue/nhcx/errors/err-pyr-pre-030.md (feeds pmjay-error-codes.mdx, error-codes.md, api/preauth/errors.md) and its package/nhcx-error.yaml entry; change 'Observed live 1' to 2 in the guide. Pin its live text first. Prefix-implies-owner: Spec owner / NHA.</t>
  </si>
  <si>
    <t xml:space="preserve">No change; the new explorer inherits the same gap.</t>
  </si>
  <si>
    <t xml:space="preserve">ER-2</t>
  </si>
  <si>
    <t xml:space="preserve">PAYR-1102 has two different texts.</t>
  </si>
  <si>
    <t xml:space="preserve">Atom payr-1102.md:76,78 has both texts. error-code-guide.md:269 and the new pmjay-error-codes.mdx row (nhcx-errors.json, message field) show only 'Invalid search parameter requested', because build-api-reference.mjs:1243 takes only the first blockquote group. api/*/errors.md show meaning only.</t>
  </si>
  <si>
    <t xml:space="preserve">Confirmed. D2 Handbook.md:2240 says 'Invalid search parameter'. D3 line 2343 says 'Invalid PMJAY ID requested'. It is also repeated in D4 at 2428. This matches the source sheet (Standard Error Codes.md:211,314,399). No reconciliation.</t>
  </si>
  <si>
    <t xml:space="preserve">Make build-api-reference.mjs:1243-1246 collect every blockquoted message so the explorer shows both PAYR-1102 texts; give package/nhcx-error.yaml:550 a message list for the guide. Reallocation: Spec owner / NHA.</t>
  </si>
  <si>
    <t xml:space="preserve">The new explorer repeats the one-message defect through a second path, build-api-reference.mjs.</t>
  </si>
  <si>
    <t xml:space="preserve">ER-4</t>
  </si>
  <si>
    <t xml:space="preserve">Duplicate codes inside one appendix.</t>
  </si>
  <si>
    <t xml:space="preserve">Atoms payr-1055.md:71,73 and payr-1060.md:69,71 keep both texts; error-codes.md:106,111 summarise both. error-code-guide.md:219,224 shows the second text only; the new explorer (nhcx-errors.json) shows the first text only, so the two error pages now disagree on the message for each code.</t>
  </si>
  <si>
    <t xml:space="preserve">Confirmed. D6 Handbook.md:2528-2529 has PAYR-1055 twice, and 2534-2535 has PAYR-1060 twice. Same as the source sheet, Standard Error Codes.md:127-128,133-134.</t>
  </si>
  <si>
    <t xml:space="preserve">Carry both messages in package/nhcx-error.yaml (412,427) and in build-api-reference.mjs:1243-1246 so the guide and the explorer match the atoms. Reallocation: Spec owner / NHA.</t>
  </si>
  <si>
    <t xml:space="preserve">The new explorer shows a different single message from the guide for PAYR-1055 and PAYR-1060.</t>
  </si>
  <si>
    <t xml:space="preserve">ER-5</t>
  </si>
  <si>
    <t xml:space="preserve">Twelve error rows have no code at all.</t>
  </si>
  <si>
    <t xml:space="preserve">troubleshooting.md:63 and jwe-message-format.md:242 name two PAYR-1008 faults (content type; code and reason). Atom payr-1008.md still omits the 15 messages; error-code-guide.md omits them; the explorer row for PAYR-1008 has no message and a truncated plain text.</t>
  </si>
  <si>
    <t xml:space="preserve">The D6 blank rows are at Handbook.md:2468-2482. There are 15, not 12. In the xlsx (Bridge Error rows 10-24) they sit directly under PAYR-1008, so they are PAYR-1008 continuation rows that the handbook prints as uncoded.</t>
  </si>
  <si>
    <t xml:space="preserve">Live, they arrive as PAYR-1008. Invalid code/reason: backend/provider/internal/nhcx/tasks.go:94. Content type: backend/provider/internal/api/nhcx_claim.go:287. Wrong HFR ID: nanoemr/emr/claims.py:1102.</t>
  </si>
  <si>
    <t xml:space="preserve">Add the 15 messages under PAYR-1008 in catalogue/nhcx/errors/payr-1008.md and package/nhcx-error.yaml; say live sends them as PAYR-1008. Correct the issue count from 12 to 15.</t>
  </si>
  <si>
    <t xml:space="preserve">No change in substance; jwe-message-format.md:242 now also names two PAYR-1008 faults.</t>
  </si>
  <si>
    <t xml:space="preserve">ER-3</t>
  </si>
  <si>
    <t xml:space="preserve">PAYR-1003 appears under two owners.</t>
  </si>
  <si>
    <t xml:space="preserve">catalogue/nhcx/errors/payr-1003.md unchanged. error-code-guide.md:45,141,168 places each reading in its space. pmjay-error-codes.mdx row and api/claim/errors.md:22 give both readings ('could not reach the exchange ... or the workflow requested is not valid').</t>
  </si>
  <si>
    <t xml:space="preserve">PAYR-1003 is in D4 Claim (Handbook.md:2429) and D6 (2462). It is NOT in D5, which holds only NHCX- codes, so the issue's 'D5' is inaccurate. D4 repeats a code the Bridge sheet marks deprecated. Copied from the Claim sheet (Standard Error Codes.md tail).</t>
  </si>
  <si>
    <t xml:space="preserve">Correct the issue text: D4 and D6, not D5. Owner assignment: Spec owner / NHA.</t>
  </si>
  <si>
    <t xml:space="preserve">ER-6</t>
  </si>
  <si>
    <t xml:space="preserve">Five overlapping numbering ranges with no documented allocation.</t>
  </si>
  <si>
    <t xml:space="preserve">error-code-spaces.md:143 puts 15xx with 10xx as structure, and the new explorer files PAYR-1501 to 1520 under 'Bundle structure' (Bridge Error sheet). error-code-guide.md:87 ('PAYR-14xx 26') and heading 447 ('14xx and above') still lump 15xx with insurance plan.</t>
  </si>
  <si>
    <t xml:space="preserve">Confirmed. D6 goes from PAYR-1099 (Handbook.md:2574) to PAYR-1501 (2575). D1 is 1401-1406 and D2 is 1101-1123. No allocation scheme is stated.</t>
  </si>
  <si>
    <t xml:space="preserve">Split PAYR-15xx out as structure in the guide's source (package/nhcx-error.yaml band table) to match error-code-spaces.md and the explorer. Formal allocation scheme: Spec owner / NHA.</t>
  </si>
  <si>
    <t xml:space="preserve">The new explorer agrees with the atom; the guide still contradicts both.</t>
  </si>
  <si>
    <t xml:space="preserve">ER-8</t>
  </si>
  <si>
    <t xml:space="preserve">Error codes live in five places.</t>
  </si>
  <si>
    <t xml:space="preserve">From atoms: pmjay-error-codes.mdx (nhcx-errors.json), error-codes.md, api/*/errors.md (build-api-reference.mjs:1220-1260). From package: error-code-guide.md, troubleshooting.md. Hand-written: jwe-message-format.md:234-245, linking the unlisted error-codes.md (247). The skill citing ERR-PYR-PRE-030 is deleted.</t>
  </si>
  <si>
    <t xml:space="preserve">The defect is the number of sources. Appendix D is one of them. No handbook error.</t>
  </si>
  <si>
    <t xml:space="preserve">Generate the guide's code tables from atoms or link them to the explorer; make the explorer keep every message (1055/1060/1102 drift). Replace jwe-message-format.md:234-245 with a link to pmjay-error-codes. Skill part done.</t>
  </si>
  <si>
    <t xml:space="preserve">Skills no longer carry an unsourced error table, but the new explorer adds a fourth rendering that already disagrees with the guide.</t>
  </si>
  <si>
    <t xml:space="preserve">ER-7</t>
  </si>
  <si>
    <t xml:space="preserve">PAYR-1022 missing from the sequence.</t>
  </si>
  <si>
    <t xml:space="preserve">No docs page mentions PAYR-1022. error-code-guide.md:186-187 and the explorer data go from 1021 to 1023 without comment.</t>
  </si>
  <si>
    <t xml:space="preserve">D6 Handbook.md:2495-2496 goes from 1021 to 1023. This faithfully matches the source sheet, where PAYR-1022 is absent from every sheet of Standard Error Codes.md.</t>
  </si>
  <si>
    <t xml:space="preserve">Optional: one line in catalogue/nhcx/concepts/error-code-spaces.md that PAYR-1022 is on no sheet. Otherwise Spec owner / NHA.</t>
  </si>
  <si>
    <t xml:space="preserve">ER-9</t>
  </si>
  <si>
    <t xml:space="preserve">Two codes, one condition.</t>
  </si>
  <si>
    <t xml:space="preserve">nhcx-1015.md:42 and nhcx-1017.md:42 still say 'Handle both codes the same way'. error-codes.md:44,46, api/other/errors.md:34,36 and the explorer give both the same meaning.</t>
  </si>
  <si>
    <t xml:space="preserve">The text is confirmed at D5 Handbook.md:2451,2453 and matches the sheet. Live, however, NHCX-1015 carries a different message, so the handbook text is not the whole story.</t>
  </si>
  <si>
    <t xml:space="preserve">Live, NHCX-1015 = 'You are not authorized to update/modify details' on a participant update by a client id that did not create the record: nhcx-adapter/README.md:452, backend/nhcx-adapter/README.md:476. The fixture is nhcx-adapter/internal/abdm/client_test.go:93.</t>
  </si>
  <si>
    <t xml:space="preserve">Add the live participant-update meaning to catalogue/nhcx/errors/nhcx-1015.md with the remedy (use the creator's client id). Drop 'handle both the same way'. Do not merge the codes.</t>
  </si>
  <si>
    <t xml:space="preserve">No change; the new explorer repeats the identical meaning.</t>
  </si>
  <si>
    <t xml:space="preserve">ER-10</t>
  </si>
  <si>
    <t xml:space="preserve">One code breaks the numbering convention.</t>
  </si>
  <si>
    <t xml:space="preserve">catalogue/nhcx/errors/nhcx-401.md documents it as an authorisation refusal. error-codes.md:29 and the explorer row say the same.</t>
  </si>
  <si>
    <t xml:space="preserve">D5 Handbook.md:2450 lists 'NHCX-401 User Unauthorized, Business', faithfully copied from Standard Error Codes.md:49. The numbering and typing come from the spec.</t>
  </si>
  <si>
    <t xml:space="preserve">ER-12</t>
  </si>
  <si>
    <t xml:space="preserve">PAYR-1322 carries opposite meanings in the two sources.</t>
  </si>
  <si>
    <t xml:space="preserve">error-code-guide.md:486-490 flags the opposite readings. payr-1322.md:55-64 covers both messages; the explorer row's plain text says the message tells two situations apart. troubleshooting.md:71 and jwe-message-format.md:245 give 'Active instance found; wait'. The skill that paired it with ERR-PYR-PRE-030 is deleted.</t>
  </si>
  <si>
    <t xml:space="preserve">D4 Handbook.md:2372 does read 'No active case found for the given case number.' and matches the sheet. Whether it is wrong depends on a live code/text pairing that the app sources disagree on.</t>
  </si>
  <si>
    <t xml:space="preserve">package/nhcx-error.yaml:902 and apis/12-adjudicator/adjudicator-process.bru:73 pair 'Active instance found' with PAYR-1322. nanoemr/selftest.py:2965 pairs it with ERR-PYR-PRE-030. The old plugin skill file that did the same is deleted. Not in the 2026-09-21 run, which used a XYZ test payer.</t>
  </si>
  <si>
    <t xml:space="preserve">Capture a raw PMJAY response and settle PAYR-1322 against ERR-PYR-PRE-030 for 'Active instance found', then align payr-1322.md and package/nhcx-error.yaml:902. The plugin skills part is no longer needed.</t>
  </si>
  <si>
    <t xml:space="preserve">The conflicting plugin skill file is gone, removing one source of the disagreement.</t>
  </si>
  <si>
    <t xml:space="preserve">ER-13</t>
  </si>
  <si>
    <t xml:space="preserve">PAYR-1245 is a specific scheme rule in DOCS and a placeholder in HANDBOOK.</t>
  </si>
  <si>
    <t xml:space="preserve">PAYR-1245 fixed: payr-1245.md:39,56, error-code-guide.md:485,491-493, troubleshooting.md:66, jwe-message-format.md:243; explorer plain says the payer can send the rule's own text. PAYR-1111 and PAYR-1354 still read only 'Rule failure.' (guide:278,429; payr-1111.md:66; payr-1354.md:56).</t>
  </si>
  <si>
    <t xml:space="preserve">Confirmed 'Rule failure.' at D2 Handbook.md:2249 (1111), D3 2312 (1245) and D4 2404 (1354). This matches the sheet (Standard Error Codes.md:283).</t>
  </si>
  <si>
    <t xml:space="preserve">PAYR-1245 was sent live as 'Only one conservative procedure can be booked for a case' on an enhancement that added a second Conservative package: package/nhcx-error.yaml:751, package/docs/03-Building a Provider/11-PMJAY Sandbox Run.md:104,166. No evidence for 1111 or 1354.</t>
  </si>
  <si>
    <t xml:space="preserve">None for 1245. For 1111 and 1354: Spec owner / NHA, or record live text when it is met.</t>
  </si>
  <si>
    <t xml:space="preserve">ER-14</t>
  </si>
  <si>
    <t xml:space="preserve">A code observed in live sandbox traffic is on none of the seven published sheets.</t>
  </si>
  <si>
    <t xml:space="preserve">ERR-PYR-CLM-007 is documented: err-pyr-clm-007.md, explorer row, api/claim/errors.md:19, error-code-guide.md:29,487, troubleshooting.md:74, jwe-message-format.md:244. ERR-PYR-PRE-030 is still missing everywhere, including the new explorer.</t>
  </si>
  <si>
    <t xml:space="preserve">No ERR-PYR- code appears anywhere in the handbook or in Standard Error Codes.md.</t>
  </si>
  <si>
    <t xml:space="preserve">ERR-PYR-CLM-007: backend/provider/internal/api/nhcx_claim.go:84-91 sends the claim under the preauth number to avoid it. It is also in package/nhcx-error.yaml:1125. ERR-PYR-PRE-030 was also met live: nhcx_preauth.go:298, nanoemr/selftest.py:2965.</t>
  </si>
  <si>
    <t xml:space="preserve">Add catalogue/nhcx/errors/err-pyr-pre-030.md and its package/nhcx-error.yaml entry; they flow into pmjay-error-codes.mdx, error-codes.md, api/preauth/errors.md and the guide. Publishing on the sheets: Spec owner / NHA.</t>
  </si>
  <si>
    <t xml:space="preserve">ER-15</t>
  </si>
  <si>
    <t xml:space="preserve">Three reference-payer codes are marked deprecated on their own sheet but still published.</t>
  </si>
  <si>
    <t xml:space="preserve">Marked in error-code-guide.md:38-49, error-code-spaces.md:149 and atoms payr-1003/1006/1007.md. No marker in the explorer rows, error-codes.md:55,58,59, api/claim/errors.md:22,25,26, api/preauth/errors.md:21,24,25, or the guide's reference table at 168-172. No replacement named.</t>
  </si>
  <si>
    <t xml:space="preserve">D6 Handbook.md:2462,2465,2466 has no marker. The source Bridge Error sheet has 'Depricated' in Remarks (Standard Error Codes.md:60,63,64). D6 dropped that column. D4 at 2429 also repeats 1003.</t>
  </si>
  <si>
    <t xml:space="preserve">Put 'deprecated' in the PAYR-1003/1006/1007 atom titles (which feed the explorer, error-codes.md and api errors pages) and in package/nhcx-error.yaml:259 and the 1006/1007 entries. Naming the replacement: Spec owner / NHA.</t>
  </si>
  <si>
    <t xml:space="preserve">No change; the new explorer and module error tables also lack the marker.</t>
  </si>
  <si>
    <t xml:space="preserve">ER-16</t>
  </si>
  <si>
    <t xml:space="preserve">NHCX-1010's real cause is documented in only one place.</t>
  </si>
  <si>
    <t xml:space="preserve">troubleshooting.md:47, error-code-guide.md:123-127 and jwe-message-format.md:226-228 give cause and remedy. Atom nhcx-1010.md:61 gives the cause only, as does its explorer row. api/claim and api/preauth errors.md still omit it; only api/other and api/status list it.</t>
  </si>
  <si>
    <t xml:space="preserve">D5 Handbook.md:2445 gives only the literal text. Confirmed.</t>
  </si>
  <si>
    <t xml:space="preserve">backend/payer/internal/api/verdict.go:262-267 and backend/payer/README.md:207-212: a late verdict is refused with NHCX-1010, and the live PMJAY payer acknowledges first. nanoemr/emr/claims.py:1037 says 3 redeliveries, while the docs say five.</t>
  </si>
  <si>
    <t xml:space="preserve">Add 'acknowledge every submission at once with a queued ClaimResponse' to 'When it goes wrong' in nhcx-1010.md; link it from the on_submit paths so api/claim and api/preauth errors.md list it. Reconcile five retries (nhcx-1010.md:61, jwe-message-format.md:226) with nanoemr's three.</t>
  </si>
  <si>
    <t xml:space="preserve">ER-11</t>
  </si>
  <si>
    <t xml:space="preserve">Appendix qualifier misapplies to half its content.</t>
  </si>
  <si>
    <t xml:space="preserve">error-code-guide.md:24-29 separates the gateway from the PMJAY payer. But the new Error codes tab page is titled 'PMJAY error codes' (pmjay-error-codes.mdx:2-3,15) and lists the 19 NHCX- gateway codes under it; only its intro line 17 says NHCX- codes come from the exchange.</t>
  </si>
  <si>
    <t xml:space="preserve">Handbook.md:2222 has 'Appendix D: Error Codes (currently implemented in PMJAY)' over D5 NHCX- gateway codes (2432-2454), which are exchange-level.</t>
  </si>
  <si>
    <t xml:space="preserve">Docs: retitle reference/pmjay-error-codes.mdx to something like 'Error codes' or 'NHCX and PMJAY error codes'. Handbook title: Spec owner / NHA.</t>
  </si>
  <si>
    <t xml:space="preserve">The docs had avoided the handbook's PMJAY title; the new error page reuses it over gateway codes.</t>
  </si>
  <si>
    <t xml:space="preserve">DX-1</t>
  </si>
  <si>
    <t xml:space="preserve">DOCS site findings</t>
  </si>
  <si>
    <t xml:space="preserve">Defect in DOCS</t>
  </si>
  <si>
    <t xml:space="preserve">Only two of the nine services in the base-URL table carry an unconditional production address. Five are marked 'Not published', and a sixth is hedged. DOCS therefore cannot give a complete production configuration.</t>
  </si>
  <si>
    <t xml:space="preserve">reference/environments-and-addresses.md:21-28 and getting-started/base-urls.md:25-32 now give a production host for every row (PMJAY payer and Dummy rows removed). But env:54-58 and base-urls.md:21,56 still call the hosts unpublished and 'an inference'. package/baseurl.yaml:44,58 keeps exchange and ABDM proxy production null.</t>
  </si>
  <si>
    <t xml:space="preserve">Not applicable</t>
  </si>
  <si>
    <t xml:space="preserve">Sources disagree on production. nhcx-adapter/internal/config/config.go:48-52 defaults to apis.abdm.gov.in/hcx/v1, apis.abdm.gov.in/pmjay/hcx/participanthcxservice, live.abdm.gov.in sessions. Docs say apisprod.nha.gov.in/hcx and apis.abdm.gov.in. package/baseurl.yaml nhcx production: null.</t>
  </si>
  <si>
    <t xml:space="preserve">env:54-58 and base-urls.md:21,56: remove the 'not published / inference' prose or say which new rows are sourced. No repo file sources apisprod.../abdmproxy, nhcx.abdm.gov.in or phr.abdm.gov.in (Unconfirmed). Update package/baseurl.yaml to match or revert, and reconcile with the adapter defaults.</t>
  </si>
  <si>
    <t xml:space="preserve">Production column filled for all rows, but the leftover hedge prose contradicts it, the values are unsourced, and they disagree with baseurl.yaml.</t>
  </si>
  <si>
    <t xml:space="preserve">DX-2</t>
  </si>
  <si>
    <t xml:space="preserve">A PMJAY production action endpoint is documented on a beta hostname.</t>
  </si>
  <si>
    <t xml:space="preserve">PMJAY payer rows removed from reference/environments-and-addresses.md, so the reference no longer names the host at all. apisbeta still appears unexplained in roles/provider/pmjay-adjudication-apis.md:41,96, pmjay-sandbox-run.md:82 and nhcx-adjudicator.yaml:190 (labelled 'Sandbox').</t>
  </si>
  <si>
    <t xml:space="preserve">backend/provider/internal/config/config.go:143 and backend/provider/config.example.json:23 default payer_service_process_url to the apisbeta host. The e2e run did not call it.</t>
  </si>
  <si>
    <t xml:space="preserve">pmjay-adjudication-apis.md near line 41 (and the nhcx-adjudicator.yaml:190 server description): say apisbeta is a beta host, the only one published, and production is not published. Confirming the host is Spec owner / NHA.</t>
  </si>
  <si>
    <t xml:space="preserve">The env-page row that said production 'Not published' was removed; the apisbeta host is still unexplained on the pages that use it.</t>
  </si>
  <si>
    <t xml:space="preserve">DX-3</t>
  </si>
  <si>
    <t xml:space="preserve">Two chapters are both called Troubleshooting and both appear in the sidebar.</t>
  </si>
  <si>
    <t xml:space="preserve">reference/troubleshooting.md:2-3 title/label 'Troubleshooting by layer and code', listed under the Docs sidebar Reference category (sidebars.ts:76-96); troubleshooting/ is its own 'Troubleshooting' category (sidebars.ts:99-110) with index 'When something breaks'. No collision.</t>
  </si>
  <si>
    <t xml:space="preserve">None. reference/troubleshooting.md is still uncommitted (git status M).</t>
  </si>
  <si>
    <t xml:space="preserve">No change; both now sit in the Docs sidebar, labels still distinct.</t>
  </si>
  <si>
    <t xml:space="preserve">DX-4</t>
  </si>
  <si>
    <t xml:space="preserve">Error-code content is split across two reference pages plus per-API pages, with the substantive analysis on the less obvious one.</t>
  </si>
  <si>
    <t xml:space="preserve">Error codes tab lands on reference/pmjay-error-codes.mdx (navigation.ts:69), one searchable table linking error-code-guide (line 19); error-codes and the guide are out of every sidebar (docusaurus.config.ts ~267). All 10 api/*/errors.md link pmjay-error-codes. Old error-codes.md still exists.</t>
  </si>
  <si>
    <t xml:space="preserve">Repoint links still sending readers to the orphaned reference/error-codes: getting-started/jwe-message-format.md:247, concepts/jwe-status-and-errors.md:107, getting-started/build-it-well.mdx:43, support/index.md:30. Then delete or redirect error-codes.md.</t>
  </si>
  <si>
    <t xml:space="preserve">Single entry point now exists and module pages link it; the old error-codes page survives as an orphan still linked from four pages.</t>
  </si>
  <si>
    <t xml:space="preserve">DX-5</t>
  </si>
  <si>
    <t xml:space="preserve">Reprocess is filed under 'Other', though it is a regulated appeal path.</t>
  </si>
  <si>
    <t xml:space="preserve">site/docs/nhcx/v1/api/task/ (_category_.json label 'Reprocess, cancel and shortfall', position 7) with submit/on_submit and webhook pages plus errors.md, from catalogue/openapi/nhcx/v1/nhcx-task.yaml; api/other/index.md:14 points to it.</t>
  </si>
  <si>
    <t xml:space="preserve">Handbook file not found under SHCXv9; its first-class use case claim could not be checked.</t>
  </si>
  <si>
    <t xml:space="preserve">backend payer sends the reprocess decision on task/on_submit (reports/nhcx-e2e-coverage-2026-09-21.md line 97, finding 2).</t>
  </si>
  <si>
    <t xml:space="preserve">None. api/task/ and nhcx-task.yaml are still untracked (git ??); commit them.</t>
  </si>
  <si>
    <t xml:space="preserve">DX-6</t>
  </si>
  <si>
    <t xml:space="preserve">The reprocess response shape is documented in only one source, and it is not DOCS.</t>
  </si>
  <si>
    <t xml:space="preserve">reference/fhir/cancel-reprocess-and-shortfall.md:28-32 'The answer is nested' (read Task.output[0].valueReference.reference) and :614; api/task/index.md:23 links that section.</t>
  </si>
  <si>
    <t xml:space="preserve">Handbook 10.5 not located in the workspace.</t>
  </si>
  <si>
    <t xml:space="preserve">Provider applies the ClaimResponse on the Task's output; payer sends ack response.partial then decision on task/on_submit, workflow 252/253 (reports/nhcx-e2e-coverage-2026-09-21.md:97, :288).</t>
  </si>
  <si>
    <t xml:space="preserve">DX-7</t>
  </si>
  <si>
    <t xml:space="preserve">Every API group page carries the same generated boilerplate, which conveys nothing.</t>
  </si>
  <si>
    <t xml:space="preserve">No file under site/docs/nhcx/v1/api contains 'endpoints across' or 'Other operations'; group pages open with a purpose sentence and a Calls table (api/eligibility/index.md:10-17).</t>
  </si>
  <si>
    <t xml:space="preserve">DX-8</t>
  </si>
  <si>
    <t xml:space="preserve">Path version segments are inconsistently cased in the published registry paths.</t>
  </si>
  <si>
    <t xml:space="preserve">api/registry/index.md:18 still says three paths carry uppercase /V2/, the spec does not say whether paths are case-sensitive, send as printed. Paths still /V2/ in nhcx-registry.yaml:1102 and siblings; index.md:35,39,41.</t>
  </si>
  <si>
    <t xml:space="preserve">Apps avoid V2: nhcx-adapter/internal/server/kitcompat.go:324-339 uses unversioned participant/get/policies, link and delink. Live UC-02 policy lookup passed on that path.</t>
  </si>
  <si>
    <t xml:space="preserve">Test /v2/ vs /V2/ once on the sandbox and record case sensitivity in api/registry/index.md:18; optionally note the unversioned paths work. Normalising the paths is Spec owner / NHA.</t>
  </si>
  <si>
    <t xml:space="preserve">DX-15</t>
  </si>
  <si>
    <t xml:space="preserve">Unresolved in the spec, surfaced by DOCS</t>
  </si>
  <si>
    <t xml:space="preserve">A published address in the portal's own table is malformed, and DOCS gives the defect its own heading rather than being able to fix it.</t>
  </si>
  <si>
    <t xml:space="preserve">reference/environments-and-addresses.md:153-159 'A defect in the published table' quotes the malformed FAQ string and gives https://apisbx.abdm.gov.in/hcx/v1/paymentnotice/on_request.</t>
  </si>
  <si>
    <t xml:space="preserve">Adapter joins base https://apisbx.abdm.gov.in/hcx/v1 (config.go:56) with the path via TargetURL (headers.go ~167). e2e run: v1/paymentnotice/on_request 6 sent, 6 accepted.</t>
  </si>
  <si>
    <t xml:space="preserve">Spec owner / NHA (fix the portal FAQ table).</t>
  </si>
  <si>
    <t xml:space="preserve">DX-16</t>
  </si>
  <si>
    <t xml:space="preserve">Service names in logs do not match the exchange they serve, and DOCS has to warn readers about it.</t>
  </si>
  <si>
    <t xml:space="preserve">The taskhcxservice/subscriptionhcxservice/servicehcxpayment note is only in reference/environments-and-addresses.md:118-121 and reference/notifications-and-patient-apps.md. Nothing under troubleshooting/ or reference/troubleshooting.md carries it.</t>
  </si>
  <si>
    <t xml:space="preserve">Add a service-name to exchange mapping table to reference/troubleshooting.md (or troubleshooting/index.md), linking back to environments-and-addresses.md#live-api-specifications.</t>
  </si>
  <si>
    <t xml:space="preserve">DX-17</t>
  </si>
  <si>
    <t xml:space="preserve">Every published Swagger specification is a sandbox address; no production specification is published.</t>
  </si>
  <si>
    <t xml:space="preserve">reference/environments-and-addresses.md:96-116 still lists 12 hcxsbx.abdm.gov.in Swagger URLs as 'the authoritative API surface' (line 99), with no statement on production specs.</t>
  </si>
  <si>
    <t xml:space="preserve">No app evidence. Apps and package/apis Bruno collection are built against sandbox bases only.</t>
  </si>
  <si>
    <t xml:space="preserve">environments-and-addresses.md:98-101: add that no production specification is published and the sandbox specs are the only ones available. Publishing production specs or declaring sandbox normative is Spec owner / NHA.</t>
  </si>
  <si>
    <t xml:space="preserve">DX-18</t>
  </si>
  <si>
    <t xml:space="preserve">21 of the 103 endpoint pages publish no method, no path and no schema. They render a single heading and nothing else.</t>
  </si>
  <si>
    <t xml:space="preserve">All 21 site/src/data/api/*webhook*.json (now incl. task-webhook-v1-task-submit/on_submit) carry method, path, headers, body, responses and samples; eligibility webhook page returns 200 on the dev server.</t>
  </si>
  <si>
    <t xml:space="preserve">Provider and payer desks host these callbacks; e2e run delivered 168 messages to them, 0 refused (reports/nhcx-e2e-coverage-2026-09-21.md).</t>
  </si>
  <si>
    <t xml:space="preserve">No change; the task group's two webhooks are complete too.</t>
  </si>
  <si>
    <t xml:space="preserve">DX-19</t>
  </si>
  <si>
    <t xml:space="preserve">For 11 endpoint pages the URL slug cannot be derived from the path, so a page cannot be located from a path or vice versa.</t>
  </si>
  <si>
    <t xml:space="preserve">Slugs still come from operationIds: nhcx-session.yaml:56 session_session_token gives api/session/endpoints/session-session-token.mdx; nhcx-adjudicator.yaml:140 gives adjudicator-adjudicator-process.mdx; nhcx-biometric.yaml:413 gives biometric-faceauth-capture-pid.mdx.</t>
  </si>
  <si>
    <t xml:space="preserve">Rename operationIds in nhcx-session.yaml:56, nhcx-adjudicator.yaml:59,140 and nhcx-biometric.yaml:344,413,490 to path-derived ids (build-api-reference.mjs uses op.operationId ?? slug(method-path)), and add redirects for the old URLs.</t>
  </si>
  <si>
    <t xml:space="preserve">DX-9</t>
  </si>
  <si>
    <t xml:space="preserve">DOCS reports that the two portal spec pages disagree on whether x-hcx-request_id is mandatory, and cannot resolve it.</t>
  </si>
  <si>
    <t xml:space="preserve">reference/envelope-fields.md:32 and :64 and getting-started/jwe-message-format.md:95 list x-hcx-request_id Optional; nhcx-claim.yaml:548-555 (all specs) same, example '&lt;uuid&gt;'. No page says to always send it.</t>
  </si>
  <si>
    <t xml:space="preserve">nhcx-adapter/internal/nhcx/headers.go:152 always sets x-hcx-request_id to a UUID (EnsureID). 168 exchange messages in the e2e run, 0 refused.</t>
  </si>
  <si>
    <t xml:space="preserve">envelope-fields.md:32, jwe-message-format.md:95 and XHcxRequestId in catalogue/openapi/nhcx/v1/*.yaml: add 'Always send a fresh UUID; the sandbox accepts it.' Ruling on the obligation is Spec owner / NHA.</t>
  </si>
  <si>
    <t xml:space="preserve">No change; the new JWE message format page repeats Optional without advice to always send it.</t>
  </si>
  <si>
    <t xml:space="preserve">DX-10</t>
  </si>
  <si>
    <t xml:space="preserve">x-hcx-timestamp has two incompatible published types and DOCS can only recommend.</t>
  </si>
  <si>
    <t xml:space="preserve">envelope-fields.md:147-162 and jwe-message-format.md:81,143-153 advise ISO 8601 with +05:30, accept epoch. XHcxTimestamp in all 12 specs (e.g. nhcx-claim.yaml:572-579) still says 'See the format note below' with example '&lt;iso timestamp&gt;', dangling on endpoint pages.</t>
  </si>
  <si>
    <t xml:space="preserve">Handbook not located; its ISO 8601 claim is carried only by the finding.</t>
  </si>
  <si>
    <t xml:space="preserve">nhcx-adapter/internal/nhcx/headers.go:26-31 sends RFC3339 with a colon-less offset, e.g. 2023-11-06T13:22:06+0530. The sandbox accepted all 168 messages in the e2e run with that form.</t>
  </si>
  <si>
    <t xml:space="preserve">catalogue/openapi/nhcx/v1/*.yaml XHcxTimestamp: replace the dangling description and placeholder with a real example such as 2026-09-04T11:46:34+05:30. envelope-fields.md:158 and jwe-message-format.md:145: note +0530 is also accepted. Workbook type is Spec owner / NHA.</t>
  </si>
  <si>
    <t xml:space="preserve">DX-11</t>
  </si>
  <si>
    <t xml:space="preserve">x-hcx-workflow_id has two incompatible definitions, and one page keeps both in a single sentence.</t>
  </si>
  <si>
    <t xml:space="preserve">reference/envelope-fields.md:96-120 'The workflow code means two different things' gives both readings, Optional on all 25 rows, advice: step code where the sheet gives one, else omit. concepts/workflow-codes.mdx carries the codes.</t>
  </si>
  <si>
    <t xml:space="preserve">Both readings in use. backend/provider/internal/payers/payers.go:68-79 sends PMJAY step codes, else the case id (nhcx_preauth.go:309 fallback preauth.ID). Payer sent workflow 252 on task/on_submit, accepted (report line 97). Adapter omits it when empty (headers.go:160-162).</t>
  </si>
  <si>
    <t xml:space="preserve">Spec owner / NHA. Optional docs note: the exchange accepted a case handle as workflow_id for a non-PMJAY payer in the e2e run.</t>
  </si>
  <si>
    <t xml:space="preserve">DX-12</t>
  </si>
  <si>
    <t xml:space="preserve">A superseded status vocabulary is still published on the portal.</t>
  </si>
  <si>
    <t xml:space="preserve">reference/envelope-fields.md:128-145 lists the seven Technical Specifications status values and marks the Open Protocol set a superseded draft: do not build against it.</t>
  </si>
  <si>
    <t xml:space="preserve">nhcx-adapter/internal/nhcx/headers.go:87-92 sends request.initiated and response.complete; payer acks response.partial (report finding 2). No app uses the Open Protocol words.</t>
  </si>
  <si>
    <t xml:space="preserve">Spec owner / NHA (mark the Open Protocol page superseded).</t>
  </si>
  <si>
    <t xml:space="preserve">DX-13</t>
  </si>
  <si>
    <t xml:space="preserve">Both portal spec pages print the domain-header prefix wrongly.</t>
  </si>
  <si>
    <t xml:space="preserve">reference/envelope-fields.md:176-180 (domain headers) and :205-209 'The header prefix' say both pages print x-NHCX- and to send x-hcx-.</t>
  </si>
  <si>
    <t xml:space="preserve">nhcx-adapter/internal/nhcx/headers.go:16-23 uses x-hcx- for every protected header; backend provider/payer likewise. 168 messages accepted in the e2e run.</t>
  </si>
  <si>
    <t xml:space="preserve">Spec owner / NHA.</t>
  </si>
  <si>
    <t xml:space="preserve">DX-14</t>
  </si>
  <si>
    <t xml:space="preserve">x-hcx-debug_flag is typed two ways, and the session token has three published lifetimes.</t>
  </si>
  <si>
    <t xml:space="preserve">envelope-fields.md:55-61 and jwe-message-format.md:104 say send INFO, but envelope-fields.md:41 row and x-hcx-debug_flag in the specs (nhcx-claim.yaml:605-611) still say Error, Info or Debug. getting-started/session-token.md:64 cites 300/1200/6000, rely on none; no mention of reading expiresIn.</t>
  </si>
  <si>
    <t xml:space="preserve">Handbook 1200s figure not checked; handbook not located.</t>
  </si>
  <si>
    <t xml:space="preserve">Adapter sends no debug_flag. Token: reads expiresIn from the response (nhcx-adapter/internal/abdm/client.go:260), defaults to 1200s when absent (internal/config/config.go:343). Lifetime not recorded in the e2e run.</t>
  </si>
  <si>
    <t xml:space="preserve">Align envelope-fields.md:41 and x-hcx-debug_flag in catalogue/openapi/nhcx/v1/*.yaml with 'send INFO'. session-token.md:64: say read expiresIn (line 45 of the sample) from the response. Settling both is Spec owner / NHA.</t>
  </si>
  <si>
    <t xml:space="preserve">The new JWE message format page says send INFO, but the reference row and the specs were not aligned.</t>
  </si>
  <si>
    <t xml:space="preserve">Issues the docs in this repo already get right.</t>
  </si>
  <si>
    <t xml:space="preserve">Wrong in handbook</t>
  </si>
  <si>
    <t xml:space="preserve">Where the NHCX Integration Handbook V1.0 is wrong or leaves out what an integrator needs.</t>
  </si>
  <si>
    <t xml:space="preserve">Still wrong or incomplete in the docs in this repo. The Left to fix column says what to change.</t>
  </si>
  <si>
    <t xml:space="preserve">Changed since last check</t>
  </si>
  <si>
    <t xml:space="preserve">Issues whose status moved since the first check today: newly fixed, newly partly fixed, or regressed.</t>
  </si>
  <si>
    <t xml:space="preserve">Only NHA (the platform or spec owner) can resolve these; the docs can only document them.</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</si>
</sst>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name val="Arial"/>
      <family val="0"/>
      <charset val="1"/>
    </font>
    <font>
      <b val="true"/>
      <sz val="10"/>
      <color rgb="FFFFFFFF"/>
      <name val="Arial"/>
      <family val="0"/>
      <charset val="1"/>
    </font>
    <font>
      <sz val="10"/>
      <name val="Arial"/>
      <family val="0"/>
      <charset val="1"/>
    </font>
    <font>
      <i val="true"/>
      <sz val="10"/>
      <color rgb="FF595959"/>
      <name val="Arial"/>
      <family val="0"/>
      <charset val="1"/>
    </font>
    <font>
      <b val="true"/>
      <sz val="10"/>
      <color rgb="FF000000"/>
      <name val="Arial"/>
      <family val="0"/>
      <charset val="1"/>
    </font>
  </fonts>
  <fills count="15">
    <fill>
      <patternFill patternType="none"/>
    </fill>
    <fill>
      <patternFill patternType="gray125"/>
    </fill>
    <fill>
      <patternFill patternType="solid">
        <fgColor rgb="FF1F3864"/>
        <bgColor rgb="FF333333"/>
      </patternFill>
    </fill>
    <fill>
      <patternFill patternType="solid">
        <fgColor rgb="FFC00000"/>
        <bgColor rgb="FF800000"/>
      </patternFill>
    </fill>
    <fill>
      <patternFill patternType="solid">
        <fgColor rgb="FFFFF2CC"/>
        <bgColor rgb="FFFCE4D6"/>
      </patternFill>
    </fill>
    <fill>
      <patternFill patternType="solid">
        <fgColor rgb="FFF8CBAD"/>
        <bgColor rgb="FFFFC7CE"/>
      </patternFill>
    </fill>
    <fill>
      <patternFill patternType="solid">
        <fgColor rgb="FFE2EFDA"/>
        <bgColor rgb="FFEDEDED"/>
      </patternFill>
    </fill>
    <fill>
      <patternFill patternType="solid">
        <fgColor rgb="FFFFE699"/>
        <bgColor rgb="FFFFF2CC"/>
      </patternFill>
    </fill>
    <fill>
      <patternFill patternType="solid">
        <fgColor rgb="FFED7D31"/>
        <bgColor rgb="FFFF8080"/>
      </patternFill>
    </fill>
    <fill>
      <patternFill patternType="solid">
        <fgColor rgb="FFFFC000"/>
        <bgColor rgb="FFFF9900"/>
      </patternFill>
    </fill>
    <fill>
      <patternFill patternType="solid">
        <fgColor rgb="FFA9D08E"/>
        <bgColor rgb="FFD9D9D9"/>
      </patternFill>
    </fill>
    <fill>
      <patternFill patternType="solid">
        <fgColor rgb="FFDDEBF7"/>
        <bgColor rgb="FFEDEDED"/>
      </patternFill>
    </fill>
    <fill>
      <patternFill patternType="solid">
        <fgColor rgb="FFFFC7CE"/>
        <bgColor rgb="FFF8CBAD"/>
      </patternFill>
    </fill>
    <fill>
      <patternFill patternType="solid">
        <fgColor rgb="FFEDEDED"/>
        <bgColor rgb="FFE2EFDA"/>
      </patternFill>
    </fill>
    <fill>
      <patternFill patternType="solid">
        <fgColor rgb="FFFCE4D6"/>
        <bgColor rgb="FFFFF2CC"/>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4" fontId="9" fillId="10" borderId="1" xfId="0" applyFont="true" applyBorder="true" applyAlignment="true" applyProtection="false">
      <alignment horizontal="general" vertical="top" textRotation="0" wrapText="true" indent="0" shrinkToFit="false"/>
      <protection locked="true" hidden="false"/>
    </xf>
    <xf numFmtId="164" fontId="7" fillId="11" borderId="1" xfId="0" applyFont="true" applyBorder="true" applyAlignment="true" applyProtection="false">
      <alignment horizontal="general" vertical="top" textRotation="0" wrapText="true" indent="0" shrinkToFit="false"/>
      <protection locked="true" hidden="false"/>
    </xf>
    <xf numFmtId="164" fontId="7" fillId="12" borderId="1" xfId="0" applyFont="true" applyBorder="true" applyAlignment="true" applyProtection="false">
      <alignment horizontal="general" vertical="top" textRotation="0" wrapText="true" indent="0" shrinkToFit="false"/>
      <protection locked="true" hidden="false"/>
    </xf>
    <xf numFmtId="164" fontId="7" fillId="13" borderId="1" xfId="0" applyFont="true" applyBorder="true" applyAlignment="true" applyProtection="false">
      <alignment horizontal="general" vertical="top" textRotation="0" wrapText="true" indent="0" shrinkToFit="false"/>
      <protection locked="true" hidden="false"/>
    </xf>
    <xf numFmtId="164" fontId="7" fillId="1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A9D08E"/>
          <bgColor rgb="FF000000"/>
        </patternFill>
      </fill>
    </dxf>
    <dxf>
      <fill>
        <patternFill patternType="solid">
          <fgColor rgb="FFC00000"/>
          <bgColor rgb="FF000000"/>
        </patternFill>
      </fill>
    </dxf>
    <dxf>
      <fill>
        <patternFill patternType="solid">
          <fgColor rgb="FFED7D31"/>
          <bgColor rgb="FF000000"/>
        </patternFill>
      </fill>
    </dxf>
    <dxf>
      <fill>
        <patternFill patternType="solid">
          <fgColor rgb="FFFFC000"/>
          <bgColor rgb="FF000000"/>
        </patternFill>
      </fill>
    </dxf>
    <dxf>
      <fill>
        <patternFill patternType="solid">
          <fgColor rgb="FF000000"/>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DDEBF7"/>
          <bgColor rgb="FF000000"/>
        </patternFill>
      </fill>
    </dxf>
    <dxf>
      <fill>
        <patternFill patternType="solid">
          <fgColor rgb="FFFFC7CE"/>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A9D08E"/>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FE699"/>
      <rgbColor rgb="FFFCE4D6"/>
      <rgbColor rgb="FFFFC7CE"/>
      <rgbColor rgb="FFCC99FF"/>
      <rgbColor rgb="FFF8CBAD"/>
      <rgbColor rgb="FF3366FF"/>
      <rgbColor rgb="FF33CCCC"/>
      <rgbColor rgb="FF99CC00"/>
      <rgbColor rgb="FFFFC000"/>
      <rgbColor rgb="FFFF9900"/>
      <rgbColor rgb="FFED7D31"/>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ables/table1.xml><?xml version="1.0" encoding="utf-8"?>
<table xmlns="http://schemas.openxmlformats.org/spreadsheetml/2006/main" id="1" name="All_issues" displayName="All_issues" ref="A4:O118" headerRowCount="1" totalsRowCount="0" totalsRowShown="0">
  <autoFilter ref="A4:O118"/>
  <tableColumns count="15">
    <tableColumn id="1" name="ID"/>
    <tableColumn id="2" name="From sheet"/>
    <tableColumn id="3" name="Severity"/>
    <tableColumn id="4" name="API / Area"/>
    <tableColumn id="5" name="Finding (from issues.xlsx)"/>
    <tableColumn id="6" name="My docs: status"/>
    <tableColumn id="7" name="My docs: evidence"/>
    <tableColumn id="8" name="Handbook: verdict"/>
    <tableColumn id="9" name="Handbook: evidence"/>
    <tableColumn id="10" name="What the apps and live run actually do"/>
    <tableColumn id="11" name="Confirmed live"/>
    <tableColumn id="12" name="Left to fix"/>
    <tableColumn id="13" name="Bucket"/>
    <tableColumn id="14" name="Since last check"/>
    <tableColumn id="15" name="What changed"/>
  </tableColumns>
</table>
</file>

<file path=xl/tables/table2.xml><?xml version="1.0" encoding="utf-8"?>
<table xmlns="http://schemas.openxmlformats.org/spreadsheetml/2006/main" id="2" name="Changed_since_last_check" displayName="Changed_since_last_check" ref="A4:O8" headerRowCount="1" totalsRowCount="0" totalsRowShown="0">
  <autoFilter ref="A4:O8"/>
  <tableColumns count="15">
    <tableColumn id="1" name="ID"/>
    <tableColumn id="2" name="From sheet"/>
    <tableColumn id="3" name="Severity"/>
    <tableColumn id="4" name="API / Area"/>
    <tableColumn id="5" name="Finding (from issues.xlsx)"/>
    <tableColumn id="6" name="My docs: status"/>
    <tableColumn id="7" name="My docs: evidence"/>
    <tableColumn id="8" name="Handbook: verdict"/>
    <tableColumn id="9" name="Handbook: evidence"/>
    <tableColumn id="10" name="What the apps and live run actually do"/>
    <tableColumn id="11" name="Confirmed live"/>
    <tableColumn id="12" name="Left to fix"/>
    <tableColumn id="13" name="Bucket"/>
    <tableColumn id="14" name="Since last check"/>
    <tableColumn id="15" name="What changed"/>
  </tableColumns>
</table>
</file>

<file path=xl/tables/table3.xml><?xml version="1.0" encoding="utf-8"?>
<table xmlns="http://schemas.openxmlformats.org/spreadsheetml/2006/main" id="3" name="Fixed_in_my_docs" displayName="Fixed_in_my_docs" ref="A4:O53" headerRowCount="1" totalsRowCount="0" totalsRowShown="0">
  <autoFilter ref="A4:O53"/>
  <tableColumns count="15">
    <tableColumn id="1" name="ID"/>
    <tableColumn id="2" name="From sheet"/>
    <tableColumn id="3" name="Severity"/>
    <tableColumn id="4" name="API / Area"/>
    <tableColumn id="5" name="Finding (from issues.xlsx)"/>
    <tableColumn id="6" name="My docs: status"/>
    <tableColumn id="7" name="My docs: evidence"/>
    <tableColumn id="8" name="Handbook: verdict"/>
    <tableColumn id="9" name="Handbook: evidence"/>
    <tableColumn id="10" name="What the apps and live run actually do"/>
    <tableColumn id="11" name="Confirmed live"/>
    <tableColumn id="12" name="Left to fix"/>
    <tableColumn id="13" name="Bucket"/>
    <tableColumn id="14" name="Since last check"/>
    <tableColumn id="15" name="What changed"/>
  </tableColumns>
</table>
</file>

<file path=xl/tables/table4.xml><?xml version="1.0" encoding="utf-8"?>
<table xmlns="http://schemas.openxmlformats.org/spreadsheetml/2006/main" id="4" name="Left_to_fix" displayName="Left_to_fix" ref="A4:O59" headerRowCount="1" totalsRowCount="0" totalsRowShown="0">
  <autoFilter ref="A4:O59"/>
  <tableColumns count="15">
    <tableColumn id="1" name="ID"/>
    <tableColumn id="2" name="From sheet"/>
    <tableColumn id="3" name="Severity"/>
    <tableColumn id="4" name="API / Area"/>
    <tableColumn id="5" name="Finding (from issues.xlsx)"/>
    <tableColumn id="6" name="My docs: status"/>
    <tableColumn id="7" name="My docs: evidence"/>
    <tableColumn id="8" name="Handbook: verdict"/>
    <tableColumn id="9" name="Handbook: evidence"/>
    <tableColumn id="10" name="What the apps and live run actually do"/>
    <tableColumn id="11" name="Confirmed live"/>
    <tableColumn id="12" name="Left to fix"/>
    <tableColumn id="13" name="Bucket"/>
    <tableColumn id="14" name="Since last check"/>
    <tableColumn id="15" name="What changed"/>
  </tableColumns>
</table>
</file>

<file path=xl/tables/table5.xml><?xml version="1.0" encoding="utf-8"?>
<table xmlns="http://schemas.openxmlformats.org/spreadsheetml/2006/main" id="5" name="Needs_NHA" displayName="Needs_NHA" ref="A4:O46" headerRowCount="1" totalsRowCount="0" totalsRowShown="0">
  <autoFilter ref="A4:O46"/>
  <tableColumns count="15">
    <tableColumn id="1" name="ID"/>
    <tableColumn id="2" name="From sheet"/>
    <tableColumn id="3" name="Severity"/>
    <tableColumn id="4" name="API / Area"/>
    <tableColumn id="5" name="Finding (from issues.xlsx)"/>
    <tableColumn id="6" name="My docs: status"/>
    <tableColumn id="7" name="My docs: evidence"/>
    <tableColumn id="8" name="Handbook: verdict"/>
    <tableColumn id="9" name="Handbook: evidence"/>
    <tableColumn id="10" name="What the apps and live run actually do"/>
    <tableColumn id="11" name="Confirmed live"/>
    <tableColumn id="12" name="Left to fix"/>
    <tableColumn id="13" name="Bucket"/>
    <tableColumn id="14" name="Since last check"/>
    <tableColumn id="15" name="What changed"/>
  </tableColumns>
</table>
</file>

<file path=xl/tables/table6.xml><?xml version="1.0" encoding="utf-8"?>
<table xmlns="http://schemas.openxmlformats.org/spreadsheetml/2006/main" id="6" name="Wrong_in_handbook" displayName="Wrong_in_handbook" ref="A4:O82" headerRowCount="1" totalsRowCount="0" totalsRowShown="0">
  <autoFilter ref="A4:O82"/>
  <tableColumns count="15">
    <tableColumn id="1" name="ID"/>
    <tableColumn id="2" name="From sheet"/>
    <tableColumn id="3" name="Severity"/>
    <tableColumn id="4" name="API / Area"/>
    <tableColumn id="5" name="Finding (from issues.xlsx)"/>
    <tableColumn id="6" name="My docs: status"/>
    <tableColumn id="7" name="My docs: evidence"/>
    <tableColumn id="8" name="Handbook: verdict"/>
    <tableColumn id="9" name="Handbook: evidence"/>
    <tableColumn id="10" name="What the apps and live run actually do"/>
    <tableColumn id="11" name="Confirmed live"/>
    <tableColumn id="12" name="Left to fix"/>
    <tableColumn id="13" name="Bucket"/>
    <tableColumn id="14" name="Since last check"/>
    <tableColumn id="15" name="What changed"/>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6.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6.xml.rels><?xml version="1.0" encoding="UTF-8"?>
<Relationships xmlns="http://schemas.openxmlformats.org/package/2006/relationships"><Relationship Id="rId1" Type="http://schemas.openxmlformats.org/officeDocument/2006/relationships/table" Target="../tables/table2.xml"/>
</Relationships>
</file>

<file path=xl/worksheets/_rels/sheet7.xml.rels><?xml version="1.0" encoding="UTF-8"?>
<Relationships xmlns="http://schemas.openxmlformats.org/package/2006/relationships"><Relationship Id="rId1"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6" min="2" style="0" width="11"/>
  </cols>
  <sheetData>
    <row r="1" customFormat="false" ht="17.35" hidden="false" customHeight="false" outlineLevel="0" collapsed="false">
      <c r="A1" s="1" t="s">
        <v>0</v>
      </c>
    </row>
    <row r="2" customFormat="false" ht="60" hidden="false" customHeight="true" outlineLevel="0" collapsed="false">
      <c r="A2" s="2" t="s">
        <v>1</v>
      </c>
      <c r="B2" s="2"/>
      <c r="C2" s="2"/>
      <c r="D2" s="2"/>
      <c r="E2" s="2"/>
      <c r="F2" s="2"/>
    </row>
    <row r="4" customFormat="false" ht="15" hidden="false" customHeight="false" outlineLevel="0" collapsed="false">
      <c r="A4" s="3" t="s">
        <v>2</v>
      </c>
    </row>
    <row r="5" customFormat="false" ht="15" hidden="false" customHeight="false" outlineLevel="0" collapsed="false">
      <c r="A5" s="4"/>
      <c r="B5" s="4" t="s">
        <v>3</v>
      </c>
      <c r="C5" s="4" t="s">
        <v>4</v>
      </c>
      <c r="D5" s="4" t="s">
        <v>5</v>
      </c>
      <c r="E5" s="4" t="s">
        <v>6</v>
      </c>
      <c r="F5" s="4" t="s">
        <v>7</v>
      </c>
    </row>
    <row r="6" customFormat="false" ht="15" hidden="false" customHeight="false" outlineLevel="0" collapsed="false">
      <c r="A6" s="5" t="s">
        <v>8</v>
      </c>
      <c r="B6" s="5" t="n">
        <f aca="false">COUNTIF('All issues'!$F$5:$F$118,"Fixed in docs")</f>
        <v>49</v>
      </c>
      <c r="C6" s="5" t="n">
        <f aca="false">COUNTIFS('All issues'!$F$5:$F$118,"Fixed in docs",'All issues'!$C$5:$C$118,"Blocker")</f>
        <v>6</v>
      </c>
      <c r="D6" s="5" t="n">
        <f aca="false">COUNTIFS('All issues'!$F$5:$F$118,"Fixed in docs",'All issues'!$C$5:$C$118,"Critical")</f>
        <v>14</v>
      </c>
      <c r="E6" s="5" t="n">
        <f aca="false">COUNTIFS('All issues'!$F$5:$F$118,"Fixed in docs",'All issues'!$C$5:$C$118,"Major")</f>
        <v>25</v>
      </c>
      <c r="F6" s="5" t="n">
        <f aca="false">COUNTIFS('All issues'!$F$5:$F$118,"Fixed in docs",'All issues'!$C$5:$C$118,"Minor")</f>
        <v>4</v>
      </c>
    </row>
    <row r="7" customFormat="false" ht="15" hidden="false" customHeight="false" outlineLevel="0" collapsed="false">
      <c r="A7" s="5" t="s">
        <v>9</v>
      </c>
      <c r="B7" s="5" t="n">
        <f aca="false">COUNTIF('All issues'!$F$5:$F$118,"Partly fixed")</f>
        <v>48</v>
      </c>
      <c r="C7" s="5" t="n">
        <f aca="false">COUNTIFS('All issues'!$F$5:$F$118,"Partly fixed",'All issues'!$C$5:$C$118,"Blocker")</f>
        <v>6</v>
      </c>
      <c r="D7" s="5" t="n">
        <f aca="false">COUNTIFS('All issues'!$F$5:$F$118,"Partly fixed",'All issues'!$C$5:$C$118,"Critical")</f>
        <v>17</v>
      </c>
      <c r="E7" s="5" t="n">
        <f aca="false">COUNTIFS('All issues'!$F$5:$F$118,"Partly fixed",'All issues'!$C$5:$C$118,"Major")</f>
        <v>17</v>
      </c>
      <c r="F7" s="5" t="n">
        <f aca="false">COUNTIFS('All issues'!$F$5:$F$118,"Partly fixed",'All issues'!$C$5:$C$118,"Minor")</f>
        <v>8</v>
      </c>
    </row>
    <row r="8" customFormat="false" ht="15" hidden="false" customHeight="false" outlineLevel="0" collapsed="false">
      <c r="A8" s="5" t="s">
        <v>10</v>
      </c>
      <c r="B8" s="5" t="n">
        <f aca="false">COUNTIF('All issues'!$F$5:$F$118,"Not fixed")</f>
        <v>7</v>
      </c>
      <c r="C8" s="5" t="n">
        <f aca="false">COUNTIFS('All issues'!$F$5:$F$118,"Not fixed",'All issues'!$C$5:$C$118,"Blocker")</f>
        <v>0</v>
      </c>
      <c r="D8" s="5" t="n">
        <f aca="false">COUNTIFS('All issues'!$F$5:$F$118,"Not fixed",'All issues'!$C$5:$C$118,"Critical")</f>
        <v>2</v>
      </c>
      <c r="E8" s="5" t="n">
        <f aca="false">COUNTIFS('All issues'!$F$5:$F$118,"Not fixed",'All issues'!$C$5:$C$118,"Major")</f>
        <v>2</v>
      </c>
      <c r="F8" s="5" t="n">
        <f aca="false">COUNTIFS('All issues'!$F$5:$F$118,"Not fixed",'All issues'!$C$5:$C$118,"Minor")</f>
        <v>3</v>
      </c>
    </row>
    <row r="9" customFormat="false" ht="15" hidden="false" customHeight="false" outlineLevel="0" collapsed="false">
      <c r="A9" s="5" t="s">
        <v>11</v>
      </c>
      <c r="B9" s="5" t="n">
        <f aca="false">COUNTIF('All issues'!$F$5:$F$118,"Not a docs issue")</f>
        <v>10</v>
      </c>
      <c r="C9" s="5" t="n">
        <f aca="false">COUNTIFS('All issues'!$F$5:$F$118,"Not a docs issue",'All issues'!$C$5:$C$118,"Blocker")</f>
        <v>0</v>
      </c>
      <c r="D9" s="5" t="n">
        <f aca="false">COUNTIFS('All issues'!$F$5:$F$118,"Not a docs issue",'All issues'!$C$5:$C$118,"Critical")</f>
        <v>0</v>
      </c>
      <c r="E9" s="5" t="n">
        <f aca="false">COUNTIFS('All issues'!$F$5:$F$118,"Not a docs issue",'All issues'!$C$5:$C$118,"Major")</f>
        <v>2</v>
      </c>
      <c r="F9" s="5" t="n">
        <f aca="false">COUNTIFS('All issues'!$F$5:$F$118,"Not a docs issue",'All issues'!$C$5:$C$118,"Minor")</f>
        <v>8</v>
      </c>
    </row>
    <row r="10" customFormat="false" ht="15" hidden="false" customHeight="false" outlineLevel="0" collapsed="false">
      <c r="A10" s="5" t="s">
        <v>12</v>
      </c>
      <c r="B10" s="5" t="n">
        <f aca="false">COUNTIF('All issues'!$F$5:$F$118,"Unconfirmed")</f>
        <v>0</v>
      </c>
      <c r="C10" s="5" t="n">
        <f aca="false">COUNTIFS('All issues'!$F$5:$F$118,"Unconfirmed",'All issues'!$C$5:$C$118,"Blocker")</f>
        <v>0</v>
      </c>
      <c r="D10" s="5" t="n">
        <f aca="false">COUNTIFS('All issues'!$F$5:$F$118,"Unconfirmed",'All issues'!$C$5:$C$118,"Critical")</f>
        <v>0</v>
      </c>
      <c r="E10" s="5" t="n">
        <f aca="false">COUNTIFS('All issues'!$F$5:$F$118,"Unconfirmed",'All issues'!$C$5:$C$118,"Major")</f>
        <v>0</v>
      </c>
      <c r="F10" s="5" t="n">
        <f aca="false">COUNTIFS('All issues'!$F$5:$F$118,"Unconfirmed",'All issues'!$C$5:$C$118,"Minor")</f>
        <v>0</v>
      </c>
    </row>
    <row r="11" customFormat="false" ht="15" hidden="false" customHeight="false" outlineLevel="0" collapsed="false">
      <c r="A11" s="3" t="s">
        <v>3</v>
      </c>
      <c r="B11" s="3" t="n">
        <f aca="false">SUM(B6:B10)</f>
        <v>114</v>
      </c>
      <c r="C11" s="3" t="n">
        <f aca="false">SUM(C6:C10)</f>
        <v>12</v>
      </c>
      <c r="D11" s="3" t="n">
        <f aca="false">SUM(D6:D10)</f>
        <v>33</v>
      </c>
      <c r="E11" s="3" t="n">
        <f aca="false">SUM(E6:E10)</f>
        <v>46</v>
      </c>
      <c r="F11" s="3" t="n">
        <f aca="false">SUM(F6:F10)</f>
        <v>23</v>
      </c>
    </row>
    <row r="13" customFormat="false" ht="15" hidden="false" customHeight="false" outlineLevel="0" collapsed="false">
      <c r="A13" s="3" t="s">
        <v>13</v>
      </c>
    </row>
    <row r="14" customFormat="false" ht="15" hidden="false" customHeight="false" outlineLevel="0" collapsed="false">
      <c r="A14" s="4"/>
      <c r="B14" s="4" t="s">
        <v>3</v>
      </c>
      <c r="C14" s="4" t="s">
        <v>4</v>
      </c>
      <c r="D14" s="4" t="s">
        <v>5</v>
      </c>
      <c r="E14" s="4" t="s">
        <v>6</v>
      </c>
      <c r="F14" s="4" t="s">
        <v>7</v>
      </c>
    </row>
    <row r="15" customFormat="false" ht="15" hidden="false" customHeight="false" outlineLevel="0" collapsed="false">
      <c r="A15" s="5" t="s">
        <v>14</v>
      </c>
      <c r="B15" s="5" t="n">
        <f aca="false">COUNTIF('All issues'!$H$5:$H$118,"Handbook wrong")</f>
        <v>42</v>
      </c>
      <c r="C15" s="5" t="n">
        <f aca="false">COUNTIFS('All issues'!$H$5:$H$118,"Handbook wrong",'All issues'!$C$5:$C$118,"Blocker")</f>
        <v>7</v>
      </c>
      <c r="D15" s="5" t="n">
        <f aca="false">COUNTIFS('All issues'!$H$5:$H$118,"Handbook wrong",'All issues'!$C$5:$C$118,"Critical")</f>
        <v>9</v>
      </c>
      <c r="E15" s="5" t="n">
        <f aca="false">COUNTIFS('All issues'!$H$5:$H$118,"Handbook wrong",'All issues'!$C$5:$C$118,"Major")</f>
        <v>16</v>
      </c>
      <c r="F15" s="5" t="n">
        <f aca="false">COUNTIFS('All issues'!$H$5:$H$118,"Handbook wrong",'All issues'!$C$5:$C$118,"Minor")</f>
        <v>10</v>
      </c>
    </row>
    <row r="16" customFormat="false" ht="15" hidden="false" customHeight="false" outlineLevel="0" collapsed="false">
      <c r="A16" s="5" t="s">
        <v>15</v>
      </c>
      <c r="B16" s="5" t="n">
        <f aca="false">COUNTIF('All issues'!$H$5:$H$118,"Handbook incomplete")</f>
        <v>36</v>
      </c>
      <c r="C16" s="5" t="n">
        <f aca="false">COUNTIFS('All issues'!$H$5:$H$118,"Handbook incomplete",'All issues'!$C$5:$C$118,"Blocker")</f>
        <v>4</v>
      </c>
      <c r="D16" s="5" t="n">
        <f aca="false">COUNTIFS('All issues'!$H$5:$H$118,"Handbook incomplete",'All issues'!$C$5:$C$118,"Critical")</f>
        <v>13</v>
      </c>
      <c r="E16" s="5" t="n">
        <f aca="false">COUNTIFS('All issues'!$H$5:$H$118,"Handbook incomplete",'All issues'!$C$5:$C$118,"Major")</f>
        <v>15</v>
      </c>
      <c r="F16" s="5" t="n">
        <f aca="false">COUNTIFS('All issues'!$H$5:$H$118,"Handbook incomplete",'All issues'!$C$5:$C$118,"Minor")</f>
        <v>4</v>
      </c>
    </row>
    <row r="17" customFormat="false" ht="15" hidden="false" customHeight="false" outlineLevel="0" collapsed="false">
      <c r="A17" s="5" t="s">
        <v>16</v>
      </c>
      <c r="B17" s="5" t="n">
        <f aca="false">COUNTIF('All issues'!$H$5:$H$118,"Handbook right")</f>
        <v>6</v>
      </c>
      <c r="C17" s="5" t="n">
        <f aca="false">COUNTIFS('All issues'!$H$5:$H$118,"Handbook right",'All issues'!$C$5:$C$118,"Blocker")</f>
        <v>0</v>
      </c>
      <c r="D17" s="5" t="n">
        <f aca="false">COUNTIFS('All issues'!$H$5:$H$118,"Handbook right",'All issues'!$C$5:$C$118,"Critical")</f>
        <v>1</v>
      </c>
      <c r="E17" s="5" t="n">
        <f aca="false">COUNTIFS('All issues'!$H$5:$H$118,"Handbook right",'All issues'!$C$5:$C$118,"Major")</f>
        <v>3</v>
      </c>
      <c r="F17" s="5" t="n">
        <f aca="false">COUNTIFS('All issues'!$H$5:$H$118,"Handbook right",'All issues'!$C$5:$C$118,"Minor")</f>
        <v>2</v>
      </c>
    </row>
    <row r="18" customFormat="false" ht="15" hidden="false" customHeight="false" outlineLevel="0" collapsed="false">
      <c r="A18" s="5" t="s">
        <v>17</v>
      </c>
      <c r="B18" s="5" t="n">
        <f aca="false">COUNTIF('All issues'!$H$5:$H$118,"Handbook not involved")</f>
        <v>20</v>
      </c>
      <c r="C18" s="5" t="n">
        <f aca="false">COUNTIFS('All issues'!$H$5:$H$118,"Handbook not involved",'All issues'!$C$5:$C$118,"Blocker")</f>
        <v>1</v>
      </c>
      <c r="D18" s="5" t="n">
        <f aca="false">COUNTIFS('All issues'!$H$5:$H$118,"Handbook not involved",'All issues'!$C$5:$C$118,"Critical")</f>
        <v>6</v>
      </c>
      <c r="E18" s="5" t="n">
        <f aca="false">COUNTIFS('All issues'!$H$5:$H$118,"Handbook not involved",'All issues'!$C$5:$C$118,"Major")</f>
        <v>8</v>
      </c>
      <c r="F18" s="5" t="n">
        <f aca="false">COUNTIFS('All issues'!$H$5:$H$118,"Handbook not involved",'All issues'!$C$5:$C$118,"Minor")</f>
        <v>5</v>
      </c>
    </row>
    <row r="19" customFormat="false" ht="15" hidden="false" customHeight="false" outlineLevel="0" collapsed="false">
      <c r="A19" s="5" t="s">
        <v>12</v>
      </c>
      <c r="B19" s="5" t="n">
        <f aca="false">COUNTIF('All issues'!$H$5:$H$118,"Unconfirmed")</f>
        <v>10</v>
      </c>
      <c r="C19" s="5" t="n">
        <f aca="false">COUNTIFS('All issues'!$H$5:$H$118,"Unconfirmed",'All issues'!$C$5:$C$118,"Blocker")</f>
        <v>0</v>
      </c>
      <c r="D19" s="5" t="n">
        <f aca="false">COUNTIFS('All issues'!$H$5:$H$118,"Unconfirmed",'All issues'!$C$5:$C$118,"Critical")</f>
        <v>4</v>
      </c>
      <c r="E19" s="5" t="n">
        <f aca="false">COUNTIFS('All issues'!$H$5:$H$118,"Unconfirmed",'All issues'!$C$5:$C$118,"Major")</f>
        <v>4</v>
      </c>
      <c r="F19" s="5" t="n">
        <f aca="false">COUNTIFS('All issues'!$H$5:$H$118,"Unconfirmed",'All issues'!$C$5:$C$118,"Minor")</f>
        <v>2</v>
      </c>
    </row>
    <row r="20" customFormat="false" ht="15" hidden="false" customHeight="false" outlineLevel="0" collapsed="false">
      <c r="A20" s="3" t="s">
        <v>3</v>
      </c>
      <c r="B20" s="3" t="n">
        <f aca="false">SUM(B15:B19)</f>
        <v>114</v>
      </c>
      <c r="C20" s="3" t="n">
        <f aca="false">SUM(C15:C19)</f>
        <v>12</v>
      </c>
      <c r="D20" s="3" t="n">
        <f aca="false">SUM(D15:D19)</f>
        <v>33</v>
      </c>
      <c r="E20" s="3" t="n">
        <f aca="false">SUM(E15:E19)</f>
        <v>46</v>
      </c>
      <c r="F20" s="3" t="n">
        <f aca="false">SUM(F15:F19)</f>
        <v>23</v>
      </c>
    </row>
    <row r="22" customFormat="false" ht="15" hidden="false" customHeight="false" outlineLevel="0" collapsed="false">
      <c r="A22" s="3" t="s">
        <v>18</v>
      </c>
    </row>
    <row r="23" customFormat="false" ht="15" hidden="false" customHeight="false" outlineLevel="0" collapsed="false">
      <c r="A23" s="4"/>
      <c r="B23" s="4" t="s">
        <v>3</v>
      </c>
      <c r="C23" s="4" t="s">
        <v>4</v>
      </c>
      <c r="D23" s="4" t="s">
        <v>5</v>
      </c>
      <c r="E23" s="4" t="s">
        <v>6</v>
      </c>
      <c r="F23" s="4" t="s">
        <v>7</v>
      </c>
    </row>
    <row r="24" customFormat="false" ht="15" hidden="false" customHeight="false" outlineLevel="0" collapsed="false">
      <c r="A24" s="5" t="s">
        <v>19</v>
      </c>
      <c r="B24" s="5" t="n">
        <f aca="false">COUNTIF('All issues'!$N$5:$N$118,"Newly fixed")</f>
        <v>0</v>
      </c>
      <c r="C24" s="5" t="n">
        <f aca="false">COUNTIFS('All issues'!$N$5:$N$118,"Newly fixed",'All issues'!$C$5:$C$118,"Blocker")</f>
        <v>0</v>
      </c>
      <c r="D24" s="5" t="n">
        <f aca="false">COUNTIFS('All issues'!$N$5:$N$118,"Newly fixed",'All issues'!$C$5:$C$118,"Critical")</f>
        <v>0</v>
      </c>
      <c r="E24" s="5" t="n">
        <f aca="false">COUNTIFS('All issues'!$N$5:$N$118,"Newly fixed",'All issues'!$C$5:$C$118,"Major")</f>
        <v>0</v>
      </c>
      <c r="F24" s="5" t="n">
        <f aca="false">COUNTIFS('All issues'!$N$5:$N$118,"Newly fixed",'All issues'!$C$5:$C$118,"Minor")</f>
        <v>0</v>
      </c>
    </row>
    <row r="25" customFormat="false" ht="15" hidden="false" customHeight="false" outlineLevel="0" collapsed="false">
      <c r="A25" s="5" t="s">
        <v>20</v>
      </c>
      <c r="B25" s="5" t="n">
        <f aca="false">COUNTIF('All issues'!$N$5:$N$118,"Newly partly fixed")</f>
        <v>1</v>
      </c>
      <c r="C25" s="5" t="n">
        <f aca="false">COUNTIFS('All issues'!$N$5:$N$118,"Newly partly fixed",'All issues'!$C$5:$C$118,"Blocker")</f>
        <v>0</v>
      </c>
      <c r="D25" s="5" t="n">
        <f aca="false">COUNTIFS('All issues'!$N$5:$N$118,"Newly partly fixed",'All issues'!$C$5:$C$118,"Critical")</f>
        <v>1</v>
      </c>
      <c r="E25" s="5" t="n">
        <f aca="false">COUNTIFS('All issues'!$N$5:$N$118,"Newly partly fixed",'All issues'!$C$5:$C$118,"Major")</f>
        <v>0</v>
      </c>
      <c r="F25" s="5" t="n">
        <f aca="false">COUNTIFS('All issues'!$N$5:$N$118,"Newly partly fixed",'All issues'!$C$5:$C$118,"Minor")</f>
        <v>0</v>
      </c>
    </row>
    <row r="26" customFormat="false" ht="15" hidden="false" customHeight="false" outlineLevel="0" collapsed="false">
      <c r="A26" s="5" t="s">
        <v>21</v>
      </c>
      <c r="B26" s="5" t="n">
        <f aca="false">COUNTIF('All issues'!$N$5:$N$118,"Still fixed")</f>
        <v>57</v>
      </c>
      <c r="C26" s="5" t="n">
        <f aca="false">COUNTIFS('All issues'!$N$5:$N$118,"Still fixed",'All issues'!$C$5:$C$118,"Blocker")</f>
        <v>6</v>
      </c>
      <c r="D26" s="5" t="n">
        <f aca="false">COUNTIFS('All issues'!$N$5:$N$118,"Still fixed",'All issues'!$C$5:$C$118,"Critical")</f>
        <v>14</v>
      </c>
      <c r="E26" s="5" t="n">
        <f aca="false">COUNTIFS('All issues'!$N$5:$N$118,"Still fixed",'All issues'!$C$5:$C$118,"Major")</f>
        <v>27</v>
      </c>
      <c r="F26" s="5" t="n">
        <f aca="false">COUNTIFS('All issues'!$N$5:$N$118,"Still fixed",'All issues'!$C$5:$C$118,"Minor")</f>
        <v>10</v>
      </c>
    </row>
    <row r="27" customFormat="false" ht="15" hidden="false" customHeight="false" outlineLevel="0" collapsed="false">
      <c r="A27" s="5" t="s">
        <v>22</v>
      </c>
      <c r="B27" s="5" t="n">
        <f aca="false">COUNTIF('All issues'!$N$5:$N$118,"Still partly fixed")</f>
        <v>43</v>
      </c>
      <c r="C27" s="5" t="n">
        <f aca="false">COUNTIFS('All issues'!$N$5:$N$118,"Still partly fixed",'All issues'!$C$5:$C$118,"Blocker")</f>
        <v>5</v>
      </c>
      <c r="D27" s="5" t="n">
        <f aca="false">COUNTIFS('All issues'!$N$5:$N$118,"Still partly fixed",'All issues'!$C$5:$C$118,"Critical")</f>
        <v>16</v>
      </c>
      <c r="E27" s="5" t="n">
        <f aca="false">COUNTIFS('All issues'!$N$5:$N$118,"Still partly fixed",'All issues'!$C$5:$C$118,"Major")</f>
        <v>17</v>
      </c>
      <c r="F27" s="5" t="n">
        <f aca="false">COUNTIFS('All issues'!$N$5:$N$118,"Still partly fixed",'All issues'!$C$5:$C$118,"Minor")</f>
        <v>5</v>
      </c>
    </row>
    <row r="28" customFormat="false" ht="15" hidden="false" customHeight="false" outlineLevel="0" collapsed="false">
      <c r="A28" s="5" t="s">
        <v>23</v>
      </c>
      <c r="B28" s="5" t="n">
        <f aca="false">COUNTIF('All issues'!$N$5:$N$118,"Still open")</f>
        <v>10</v>
      </c>
      <c r="C28" s="5" t="n">
        <f aca="false">COUNTIFS('All issues'!$N$5:$N$118,"Still open",'All issues'!$C$5:$C$118,"Blocker")</f>
        <v>1</v>
      </c>
      <c r="D28" s="5" t="n">
        <f aca="false">COUNTIFS('All issues'!$N$5:$N$118,"Still open",'All issues'!$C$5:$C$118,"Critical")</f>
        <v>2</v>
      </c>
      <c r="E28" s="5" t="n">
        <f aca="false">COUNTIFS('All issues'!$N$5:$N$118,"Still open",'All issues'!$C$5:$C$118,"Major")</f>
        <v>2</v>
      </c>
      <c r="F28" s="5" t="n">
        <f aca="false">COUNTIFS('All issues'!$N$5:$N$118,"Still open",'All issues'!$C$5:$C$118,"Minor")</f>
        <v>5</v>
      </c>
    </row>
    <row r="29" customFormat="false" ht="15" hidden="false" customHeight="false" outlineLevel="0" collapsed="false">
      <c r="A29" s="5" t="s">
        <v>24</v>
      </c>
      <c r="B29" s="5" t="n">
        <f aca="false">COUNTIF('All issues'!$N$5:$N$118,"Re-assessed")</f>
        <v>1</v>
      </c>
      <c r="C29" s="5" t="n">
        <f aca="false">COUNTIFS('All issues'!$N$5:$N$118,"Re-assessed",'All issues'!$C$5:$C$118,"Blocker")</f>
        <v>0</v>
      </c>
      <c r="D29" s="5" t="n">
        <f aca="false">COUNTIFS('All issues'!$N$5:$N$118,"Re-assessed",'All issues'!$C$5:$C$118,"Critical")</f>
        <v>0</v>
      </c>
      <c r="E29" s="5" t="n">
        <f aca="false">COUNTIFS('All issues'!$N$5:$N$118,"Re-assessed",'All issues'!$C$5:$C$118,"Major")</f>
        <v>0</v>
      </c>
      <c r="F29" s="5" t="n">
        <f aca="false">COUNTIFS('All issues'!$N$5:$N$118,"Re-assessed",'All issues'!$C$5:$C$118,"Minor")</f>
        <v>1</v>
      </c>
    </row>
    <row r="30" customFormat="false" ht="15" hidden="false" customHeight="false" outlineLevel="0" collapsed="false">
      <c r="A30" s="5" t="s">
        <v>25</v>
      </c>
      <c r="B30" s="5" t="n">
        <f aca="false">COUNTIF('All issues'!$N$5:$N$118,"Regressed")</f>
        <v>2</v>
      </c>
      <c r="C30" s="5" t="n">
        <f aca="false">COUNTIFS('All issues'!$N$5:$N$118,"Regressed",'All issues'!$C$5:$C$118,"Blocker")</f>
        <v>0</v>
      </c>
      <c r="D30" s="5" t="n">
        <f aca="false">COUNTIFS('All issues'!$N$5:$N$118,"Regressed",'All issues'!$C$5:$C$118,"Critical")</f>
        <v>0</v>
      </c>
      <c r="E30" s="5" t="n">
        <f aca="false">COUNTIFS('All issues'!$N$5:$N$118,"Regressed",'All issues'!$C$5:$C$118,"Major")</f>
        <v>0</v>
      </c>
      <c r="F30" s="5" t="n">
        <f aca="false">COUNTIFS('All issues'!$N$5:$N$118,"Regressed",'All issues'!$C$5:$C$118,"Minor")</f>
        <v>2</v>
      </c>
    </row>
    <row r="31" customFormat="false" ht="15" hidden="false" customHeight="false" outlineLevel="0" collapsed="false">
      <c r="A31" s="3" t="s">
        <v>3</v>
      </c>
      <c r="B31" s="3" t="n">
        <f aca="false">SUM(B24:B30)</f>
        <v>114</v>
      </c>
      <c r="C31" s="3" t="n">
        <f aca="false">SUM(C24:C30)</f>
        <v>12</v>
      </c>
      <c r="D31" s="3" t="n">
        <f aca="false">SUM(D24:D30)</f>
        <v>33</v>
      </c>
      <c r="E31" s="3" t="n">
        <f aca="false">SUM(E24:E30)</f>
        <v>46</v>
      </c>
      <c r="F31" s="3" t="n">
        <f aca="false">SUM(F24:F30)</f>
        <v>23</v>
      </c>
    </row>
    <row r="33" customFormat="false" ht="15" hidden="false" customHeight="false" outlineLevel="0" collapsed="false">
      <c r="A33" s="5" t="s">
        <v>26</v>
      </c>
      <c r="B33" s="5" t="n">
        <f aca="false">COUNTIF('All issues'!$K$5:$K$118,"Yes")</f>
        <v>63</v>
      </c>
    </row>
    <row r="34" customFormat="false" ht="15" hidden="false" customHeight="false" outlineLevel="0" collapsed="false">
      <c r="A34" s="5" t="s">
        <v>27</v>
      </c>
      <c r="B34" s="5" t="n">
        <f aca="false">COUNTIF('All issues'!$M$5:$M$118,"*Needs NHA*")</f>
        <v>42</v>
      </c>
    </row>
    <row r="35" customFormat="false" ht="15" hidden="false" customHeight="false" outlineLevel="0" collapsed="false">
      <c r="A35" s="3" t="s">
        <v>28</v>
      </c>
      <c r="B35" s="3" t="n">
        <f aca="false">COUNTA('All issues'!$A$5:$A$118)</f>
        <v>114</v>
      </c>
    </row>
  </sheetData>
  <mergeCells count="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10"/>
    <col collapsed="false" customWidth="true" hidden="false" outlineLevel="0" max="4" min="4" style="0" width="18"/>
    <col collapsed="false" customWidth="true" hidden="false" outlineLevel="0" max="5" min="5" style="0" width="50"/>
    <col collapsed="false" customWidth="true" hidden="false" outlineLevel="0" max="6" min="6" style="0" width="14"/>
    <col collapsed="false" customWidth="true" hidden="false" outlineLevel="0" max="7" min="7" style="0" width="50"/>
    <col collapsed="false" customWidth="true" hidden="false" outlineLevel="0" max="8" min="8" style="0" width="16"/>
    <col collapsed="false" customWidth="true" hidden="false" outlineLevel="0" max="9" min="9" style="0" width="45"/>
    <col collapsed="false" customWidth="true" hidden="false" outlineLevel="0" max="10" min="10" style="0" width="50"/>
    <col collapsed="false" customWidth="true" hidden="false" outlineLevel="0" max="11" min="11" style="0" width="10"/>
    <col collapsed="false" customWidth="true" hidden="false" outlineLevel="0" max="12" min="12" style="0" width="50"/>
    <col collapsed="false" customWidth="true" hidden="false" outlineLevel="0" max="13" min="13" style="0" width="22"/>
    <col collapsed="false" customWidth="true" hidden="false" outlineLevel="0" max="14" min="14" style="0" width="18"/>
    <col collapsed="false" customWidth="true" hidden="false" outlineLevel="0" max="15" min="15" style="0" width="45"/>
  </cols>
  <sheetData>
    <row r="1" customFormat="false" ht="17.35" hidden="false" customHeight="false" outlineLevel="0" collapsed="false">
      <c r="A1" s="1" t="s">
        <v>29</v>
      </c>
    </row>
    <row r="2" customFormat="false" ht="15" hidden="false" customHeight="false" outlineLevel="0" collapsed="false">
      <c r="A2" s="6" t="s">
        <v>30</v>
      </c>
    </row>
    <row r="4" customFormat="false" ht="35.05" hidden="false" customHeight="false" outlineLevel="0" collapsed="false">
      <c r="A4" s="7" t="s">
        <v>31</v>
      </c>
      <c r="B4" s="7" t="s">
        <v>32</v>
      </c>
      <c r="C4" s="7" t="s">
        <v>33</v>
      </c>
      <c r="D4" s="7" t="s">
        <v>34</v>
      </c>
      <c r="E4" s="7" t="s">
        <v>35</v>
      </c>
      <c r="F4" s="7" t="s">
        <v>36</v>
      </c>
      <c r="G4" s="7" t="s">
        <v>37</v>
      </c>
      <c r="H4" s="7" t="s">
        <v>38</v>
      </c>
      <c r="I4" s="7" t="s">
        <v>39</v>
      </c>
      <c r="J4" s="7" t="s">
        <v>40</v>
      </c>
      <c r="K4" s="7" t="s">
        <v>41</v>
      </c>
      <c r="L4" s="7" t="s">
        <v>42</v>
      </c>
      <c r="M4" s="7" t="s">
        <v>43</v>
      </c>
      <c r="N4" s="7" t="s">
        <v>18</v>
      </c>
      <c r="O4" s="7" t="s">
        <v>44</v>
      </c>
    </row>
    <row r="5" customFormat="false" ht="91" hidden="false" customHeight="false" outlineLevel="0" collapsed="false">
      <c r="A5" s="8" t="s">
        <v>45</v>
      </c>
      <c r="B5" s="8" t="s">
        <v>46</v>
      </c>
      <c r="C5" s="9" t="s">
        <v>4</v>
      </c>
      <c r="D5" s="8" t="s">
        <v>47</v>
      </c>
      <c r="E5" s="8" t="s">
        <v>48</v>
      </c>
      <c r="F5" s="10" t="s">
        <v>9</v>
      </c>
      <c r="G5" s="8" t="s">
        <v>49</v>
      </c>
      <c r="H5" s="11" t="s">
        <v>14</v>
      </c>
      <c r="I5" s="8" t="s">
        <v>50</v>
      </c>
      <c r="J5" s="8" t="s">
        <v>51</v>
      </c>
      <c r="K5" s="8" t="s">
        <v>52</v>
      </c>
      <c r="L5" s="8" t="s">
        <v>53</v>
      </c>
      <c r="M5" s="8" t="s">
        <v>54</v>
      </c>
      <c r="N5" s="8" t="s">
        <v>22</v>
      </c>
      <c r="O5" s="8" t="s">
        <v>55</v>
      </c>
    </row>
    <row r="6" customFormat="false" ht="68.65" hidden="false" customHeight="false" outlineLevel="0" collapsed="false">
      <c r="A6" s="8" t="s">
        <v>56</v>
      </c>
      <c r="B6" s="8" t="s">
        <v>46</v>
      </c>
      <c r="C6" s="9" t="s">
        <v>4</v>
      </c>
      <c r="D6" s="8" t="s">
        <v>57</v>
      </c>
      <c r="E6" s="8" t="s">
        <v>58</v>
      </c>
      <c r="F6" s="12" t="s">
        <v>8</v>
      </c>
      <c r="G6" s="8" t="s">
        <v>59</v>
      </c>
      <c r="H6" s="11" t="s">
        <v>14</v>
      </c>
      <c r="I6" s="8" t="s">
        <v>60</v>
      </c>
      <c r="J6" s="8" t="s">
        <v>61</v>
      </c>
      <c r="K6" s="8" t="s">
        <v>52</v>
      </c>
      <c r="L6" s="8" t="s">
        <v>62</v>
      </c>
      <c r="M6" s="8" t="s">
        <v>63</v>
      </c>
      <c r="N6" s="8" t="s">
        <v>21</v>
      </c>
      <c r="O6" s="8" t="s">
        <v>64</v>
      </c>
    </row>
    <row r="7" customFormat="false" ht="79.85" hidden="false" customHeight="false" outlineLevel="0" collapsed="false">
      <c r="A7" s="8" t="s">
        <v>65</v>
      </c>
      <c r="B7" s="8" t="s">
        <v>46</v>
      </c>
      <c r="C7" s="9" t="s">
        <v>4</v>
      </c>
      <c r="D7" s="8" t="s">
        <v>66</v>
      </c>
      <c r="E7" s="8" t="s">
        <v>67</v>
      </c>
      <c r="F7" s="10" t="s">
        <v>9</v>
      </c>
      <c r="G7" s="8" t="s">
        <v>68</v>
      </c>
      <c r="H7" s="13" t="s">
        <v>15</v>
      </c>
      <c r="I7" s="8" t="s">
        <v>69</v>
      </c>
      <c r="J7" s="8" t="s">
        <v>70</v>
      </c>
      <c r="K7" s="8" t="s">
        <v>52</v>
      </c>
      <c r="L7" s="8" t="s">
        <v>71</v>
      </c>
      <c r="M7" s="8" t="s">
        <v>54</v>
      </c>
      <c r="N7" s="8" t="s">
        <v>23</v>
      </c>
      <c r="O7" s="8" t="s">
        <v>72</v>
      </c>
    </row>
    <row r="8" customFormat="false" ht="46.25" hidden="false" customHeight="false" outlineLevel="0" collapsed="false">
      <c r="A8" s="8" t="s">
        <v>73</v>
      </c>
      <c r="B8" s="8" t="s">
        <v>46</v>
      </c>
      <c r="C8" s="14" t="s">
        <v>5</v>
      </c>
      <c r="D8" s="8" t="s">
        <v>66</v>
      </c>
      <c r="E8" s="8" t="s">
        <v>74</v>
      </c>
      <c r="F8" s="12" t="s">
        <v>8</v>
      </c>
      <c r="G8" s="8" t="s">
        <v>75</v>
      </c>
      <c r="H8" s="13" t="s">
        <v>15</v>
      </c>
      <c r="I8" s="8" t="s">
        <v>76</v>
      </c>
      <c r="J8" s="8" t="s">
        <v>77</v>
      </c>
      <c r="K8" s="8" t="s">
        <v>78</v>
      </c>
      <c r="L8" s="8" t="s">
        <v>79</v>
      </c>
      <c r="M8" s="8" t="s">
        <v>63</v>
      </c>
      <c r="N8" s="8" t="s">
        <v>21</v>
      </c>
      <c r="O8" s="8" t="s">
        <v>80</v>
      </c>
    </row>
    <row r="9" customFormat="false" ht="57.45" hidden="false" customHeight="false" outlineLevel="0" collapsed="false">
      <c r="A9" s="8" t="s">
        <v>81</v>
      </c>
      <c r="B9" s="8" t="s">
        <v>46</v>
      </c>
      <c r="C9" s="14" t="s">
        <v>5</v>
      </c>
      <c r="D9" s="8" t="s">
        <v>82</v>
      </c>
      <c r="E9" s="8" t="s">
        <v>83</v>
      </c>
      <c r="F9" s="12" t="s">
        <v>8</v>
      </c>
      <c r="G9" s="8" t="s">
        <v>84</v>
      </c>
      <c r="H9" s="11" t="s">
        <v>14</v>
      </c>
      <c r="I9" s="8" t="s">
        <v>85</v>
      </c>
      <c r="J9" s="8" t="s">
        <v>86</v>
      </c>
      <c r="K9" s="8" t="s">
        <v>52</v>
      </c>
      <c r="L9" s="8" t="s">
        <v>87</v>
      </c>
      <c r="M9" s="8" t="s">
        <v>63</v>
      </c>
      <c r="N9" s="8" t="s">
        <v>21</v>
      </c>
      <c r="O9" s="8" t="s">
        <v>88</v>
      </c>
    </row>
    <row r="10" customFormat="false" ht="57.45" hidden="false" customHeight="false" outlineLevel="0" collapsed="false">
      <c r="A10" s="8" t="s">
        <v>89</v>
      </c>
      <c r="B10" s="8" t="s">
        <v>46</v>
      </c>
      <c r="C10" s="14" t="s">
        <v>5</v>
      </c>
      <c r="D10" s="8" t="s">
        <v>90</v>
      </c>
      <c r="E10" s="8" t="s">
        <v>91</v>
      </c>
      <c r="F10" s="10" t="s">
        <v>9</v>
      </c>
      <c r="G10" s="8" t="s">
        <v>92</v>
      </c>
      <c r="H10" s="13" t="s">
        <v>15</v>
      </c>
      <c r="I10" s="8" t="s">
        <v>93</v>
      </c>
      <c r="J10" s="8" t="s">
        <v>94</v>
      </c>
      <c r="K10" s="8" t="s">
        <v>52</v>
      </c>
      <c r="L10" s="8" t="s">
        <v>95</v>
      </c>
      <c r="M10" s="8" t="s">
        <v>54</v>
      </c>
      <c r="N10" s="8" t="s">
        <v>22</v>
      </c>
      <c r="O10" s="8" t="s">
        <v>96</v>
      </c>
    </row>
    <row r="11" customFormat="false" ht="68.65" hidden="false" customHeight="false" outlineLevel="0" collapsed="false">
      <c r="A11" s="8" t="s">
        <v>97</v>
      </c>
      <c r="B11" s="8" t="s">
        <v>46</v>
      </c>
      <c r="C11" s="15" t="s">
        <v>6</v>
      </c>
      <c r="D11" s="8" t="s">
        <v>98</v>
      </c>
      <c r="E11" s="8" t="s">
        <v>99</v>
      </c>
      <c r="F11" s="10" t="s">
        <v>9</v>
      </c>
      <c r="G11" s="8" t="s">
        <v>100</v>
      </c>
      <c r="H11" s="11" t="s">
        <v>14</v>
      </c>
      <c r="I11" s="8" t="s">
        <v>101</v>
      </c>
      <c r="J11" s="8" t="s">
        <v>102</v>
      </c>
      <c r="K11" s="8" t="s">
        <v>52</v>
      </c>
      <c r="L11" s="8" t="s">
        <v>103</v>
      </c>
      <c r="M11" s="8" t="s">
        <v>54</v>
      </c>
      <c r="N11" s="8" t="s">
        <v>22</v>
      </c>
      <c r="O11" s="8" t="s">
        <v>104</v>
      </c>
    </row>
    <row r="12" customFormat="false" ht="57.45" hidden="false" customHeight="false" outlineLevel="0" collapsed="false">
      <c r="A12" s="8" t="s">
        <v>105</v>
      </c>
      <c r="B12" s="8" t="s">
        <v>46</v>
      </c>
      <c r="C12" s="15" t="s">
        <v>6</v>
      </c>
      <c r="D12" s="8" t="s">
        <v>106</v>
      </c>
      <c r="E12" s="8" t="s">
        <v>107</v>
      </c>
      <c r="F12" s="12" t="s">
        <v>8</v>
      </c>
      <c r="G12" s="8" t="s">
        <v>108</v>
      </c>
      <c r="H12" s="13" t="s">
        <v>15</v>
      </c>
      <c r="I12" s="8" t="s">
        <v>109</v>
      </c>
      <c r="J12" s="8" t="s">
        <v>110</v>
      </c>
      <c r="K12" s="8" t="s">
        <v>52</v>
      </c>
      <c r="L12" s="8" t="s">
        <v>111</v>
      </c>
      <c r="M12" s="8" t="s">
        <v>63</v>
      </c>
      <c r="N12" s="8" t="s">
        <v>21</v>
      </c>
      <c r="O12" s="8" t="s">
        <v>112</v>
      </c>
    </row>
    <row r="13" customFormat="false" ht="68.65" hidden="false" customHeight="false" outlineLevel="0" collapsed="false">
      <c r="A13" s="8" t="s">
        <v>113</v>
      </c>
      <c r="B13" s="8" t="s">
        <v>46</v>
      </c>
      <c r="C13" s="16" t="s">
        <v>7</v>
      </c>
      <c r="D13" s="8" t="s">
        <v>57</v>
      </c>
      <c r="E13" s="8" t="s">
        <v>114</v>
      </c>
      <c r="F13" s="10" t="s">
        <v>9</v>
      </c>
      <c r="G13" s="8" t="s">
        <v>115</v>
      </c>
      <c r="H13" s="11" t="s">
        <v>14</v>
      </c>
      <c r="I13" s="8" t="s">
        <v>116</v>
      </c>
      <c r="J13" s="8" t="s">
        <v>117</v>
      </c>
      <c r="K13" s="8" t="s">
        <v>78</v>
      </c>
      <c r="L13" s="8" t="s">
        <v>118</v>
      </c>
      <c r="M13" s="8" t="s">
        <v>54</v>
      </c>
      <c r="N13" s="8" t="s">
        <v>22</v>
      </c>
      <c r="O13" s="8" t="s">
        <v>119</v>
      </c>
    </row>
    <row r="14" customFormat="false" ht="68.65" hidden="false" customHeight="false" outlineLevel="0" collapsed="false">
      <c r="A14" s="8" t="s">
        <v>120</v>
      </c>
      <c r="B14" s="8" t="s">
        <v>46</v>
      </c>
      <c r="C14" s="15" t="s">
        <v>6</v>
      </c>
      <c r="D14" s="8" t="s">
        <v>121</v>
      </c>
      <c r="E14" s="8" t="s">
        <v>122</v>
      </c>
      <c r="F14" s="10" t="s">
        <v>9</v>
      </c>
      <c r="G14" s="8" t="s">
        <v>123</v>
      </c>
      <c r="H14" s="8" t="s">
        <v>12</v>
      </c>
      <c r="I14" s="8" t="s">
        <v>124</v>
      </c>
      <c r="J14" s="8" t="s">
        <v>125</v>
      </c>
      <c r="K14" s="8" t="s">
        <v>78</v>
      </c>
      <c r="L14" s="8" t="s">
        <v>126</v>
      </c>
      <c r="M14" s="8" t="s">
        <v>42</v>
      </c>
      <c r="N14" s="8" t="s">
        <v>22</v>
      </c>
      <c r="O14" s="8" t="s">
        <v>127</v>
      </c>
    </row>
    <row r="15" customFormat="false" ht="57.45" hidden="false" customHeight="false" outlineLevel="0" collapsed="false">
      <c r="A15" s="8" t="s">
        <v>128</v>
      </c>
      <c r="B15" s="8" t="s">
        <v>46</v>
      </c>
      <c r="C15" s="15" t="s">
        <v>6</v>
      </c>
      <c r="D15" s="8" t="s">
        <v>129</v>
      </c>
      <c r="E15" s="8" t="s">
        <v>130</v>
      </c>
      <c r="F15" s="12" t="s">
        <v>8</v>
      </c>
      <c r="G15" s="8" t="s">
        <v>131</v>
      </c>
      <c r="H15" s="11" t="s">
        <v>14</v>
      </c>
      <c r="I15" s="8" t="s">
        <v>132</v>
      </c>
      <c r="J15" s="8" t="s">
        <v>133</v>
      </c>
      <c r="K15" s="8" t="s">
        <v>52</v>
      </c>
      <c r="L15" s="8" t="s">
        <v>134</v>
      </c>
      <c r="M15" s="8" t="s">
        <v>63</v>
      </c>
      <c r="N15" s="8" t="s">
        <v>21</v>
      </c>
      <c r="O15" s="8" t="s">
        <v>112</v>
      </c>
    </row>
    <row r="16" customFormat="false" ht="68.65" hidden="false" customHeight="false" outlineLevel="0" collapsed="false">
      <c r="A16" s="8" t="s">
        <v>135</v>
      </c>
      <c r="B16" s="8" t="s">
        <v>46</v>
      </c>
      <c r="C16" s="14" t="s">
        <v>5</v>
      </c>
      <c r="D16" s="8" t="s">
        <v>136</v>
      </c>
      <c r="E16" s="8" t="s">
        <v>137</v>
      </c>
      <c r="F16" s="10" t="s">
        <v>9</v>
      </c>
      <c r="G16" s="8" t="s">
        <v>138</v>
      </c>
      <c r="H16" s="11" t="s">
        <v>14</v>
      </c>
      <c r="I16" s="8" t="s">
        <v>139</v>
      </c>
      <c r="J16" s="8" t="s">
        <v>140</v>
      </c>
      <c r="K16" s="8" t="s">
        <v>52</v>
      </c>
      <c r="L16" s="8" t="s">
        <v>141</v>
      </c>
      <c r="M16" s="8" t="s">
        <v>54</v>
      </c>
      <c r="N16" s="8" t="s">
        <v>22</v>
      </c>
      <c r="O16" s="8" t="s">
        <v>142</v>
      </c>
    </row>
    <row r="17" customFormat="false" ht="46.25" hidden="false" customHeight="false" outlineLevel="0" collapsed="false">
      <c r="A17" s="8" t="s">
        <v>143</v>
      </c>
      <c r="B17" s="8" t="s">
        <v>46</v>
      </c>
      <c r="C17" s="15" t="s">
        <v>6</v>
      </c>
      <c r="D17" s="8" t="s">
        <v>136</v>
      </c>
      <c r="E17" s="8" t="s">
        <v>144</v>
      </c>
      <c r="F17" s="10" t="s">
        <v>9</v>
      </c>
      <c r="G17" s="8" t="s">
        <v>145</v>
      </c>
      <c r="H17" s="11" t="s">
        <v>14</v>
      </c>
      <c r="I17" s="8" t="s">
        <v>146</v>
      </c>
      <c r="J17" s="8" t="s">
        <v>147</v>
      </c>
      <c r="K17" s="8" t="s">
        <v>52</v>
      </c>
      <c r="L17" s="8" t="s">
        <v>148</v>
      </c>
      <c r="M17" s="8" t="s">
        <v>54</v>
      </c>
      <c r="N17" s="8" t="s">
        <v>22</v>
      </c>
      <c r="O17" s="8" t="s">
        <v>112</v>
      </c>
    </row>
    <row r="18" customFormat="false" ht="35.05" hidden="false" customHeight="false" outlineLevel="0" collapsed="false">
      <c r="A18" s="8" t="s">
        <v>149</v>
      </c>
      <c r="B18" s="8" t="s">
        <v>46</v>
      </c>
      <c r="C18" s="15" t="s">
        <v>6</v>
      </c>
      <c r="D18" s="8" t="s">
        <v>136</v>
      </c>
      <c r="E18" s="8" t="s">
        <v>150</v>
      </c>
      <c r="F18" s="12" t="s">
        <v>8</v>
      </c>
      <c r="G18" s="8" t="s">
        <v>151</v>
      </c>
      <c r="H18" s="11" t="s">
        <v>14</v>
      </c>
      <c r="I18" s="8" t="s">
        <v>152</v>
      </c>
      <c r="J18" s="8" t="s">
        <v>153</v>
      </c>
      <c r="K18" s="8" t="s">
        <v>52</v>
      </c>
      <c r="L18" s="8" t="s">
        <v>154</v>
      </c>
      <c r="M18" s="8" t="s">
        <v>63</v>
      </c>
      <c r="N18" s="8" t="s">
        <v>21</v>
      </c>
      <c r="O18" s="8" t="s">
        <v>112</v>
      </c>
    </row>
    <row r="19" customFormat="false" ht="68.65" hidden="false" customHeight="false" outlineLevel="0" collapsed="false">
      <c r="A19" s="8" t="s">
        <v>155</v>
      </c>
      <c r="B19" s="8" t="s">
        <v>46</v>
      </c>
      <c r="C19" s="16" t="s">
        <v>7</v>
      </c>
      <c r="D19" s="8" t="s">
        <v>136</v>
      </c>
      <c r="E19" s="8" t="s">
        <v>156</v>
      </c>
      <c r="F19" s="10" t="s">
        <v>9</v>
      </c>
      <c r="G19" s="8" t="s">
        <v>157</v>
      </c>
      <c r="H19" s="13" t="s">
        <v>15</v>
      </c>
      <c r="I19" s="8" t="s">
        <v>158</v>
      </c>
      <c r="J19" s="8" t="s">
        <v>159</v>
      </c>
      <c r="K19" s="8" t="s">
        <v>78</v>
      </c>
      <c r="L19" s="8" t="s">
        <v>160</v>
      </c>
      <c r="M19" s="8" t="s">
        <v>54</v>
      </c>
      <c r="N19" s="17" t="s">
        <v>24</v>
      </c>
      <c r="O19" s="8" t="s">
        <v>161</v>
      </c>
    </row>
    <row r="20" customFormat="false" ht="68.65" hidden="false" customHeight="false" outlineLevel="0" collapsed="false">
      <c r="A20" s="8" t="s">
        <v>162</v>
      </c>
      <c r="B20" s="8" t="s">
        <v>46</v>
      </c>
      <c r="C20" s="16" t="s">
        <v>7</v>
      </c>
      <c r="D20" s="8" t="s">
        <v>136</v>
      </c>
      <c r="E20" s="8" t="s">
        <v>163</v>
      </c>
      <c r="F20" s="10" t="s">
        <v>9</v>
      </c>
      <c r="G20" s="8" t="s">
        <v>164</v>
      </c>
      <c r="H20" s="11" t="s">
        <v>14</v>
      </c>
      <c r="I20" s="8" t="s">
        <v>165</v>
      </c>
      <c r="J20" s="8" t="s">
        <v>166</v>
      </c>
      <c r="K20" s="8" t="s">
        <v>78</v>
      </c>
      <c r="L20" s="8" t="s">
        <v>167</v>
      </c>
      <c r="M20" s="8" t="s">
        <v>54</v>
      </c>
      <c r="N20" s="18" t="s">
        <v>25</v>
      </c>
      <c r="O20" s="8" t="s">
        <v>168</v>
      </c>
    </row>
    <row r="21" customFormat="false" ht="46.25" hidden="false" customHeight="false" outlineLevel="0" collapsed="false">
      <c r="A21" s="8" t="s">
        <v>169</v>
      </c>
      <c r="B21" s="8" t="s">
        <v>46</v>
      </c>
      <c r="C21" s="16" t="s">
        <v>7</v>
      </c>
      <c r="D21" s="8" t="s">
        <v>136</v>
      </c>
      <c r="E21" s="8" t="s">
        <v>170</v>
      </c>
      <c r="F21" s="12" t="s">
        <v>8</v>
      </c>
      <c r="G21" s="8" t="s">
        <v>171</v>
      </c>
      <c r="H21" s="11" t="s">
        <v>14</v>
      </c>
      <c r="I21" s="8" t="s">
        <v>172</v>
      </c>
      <c r="J21" s="8" t="s">
        <v>173</v>
      </c>
      <c r="K21" s="8" t="s">
        <v>78</v>
      </c>
      <c r="L21" s="8" t="s">
        <v>154</v>
      </c>
      <c r="M21" s="8" t="s">
        <v>63</v>
      </c>
      <c r="N21" s="8" t="s">
        <v>21</v>
      </c>
      <c r="O21" s="8" t="s">
        <v>112</v>
      </c>
    </row>
    <row r="22" customFormat="false" ht="46.25" hidden="false" customHeight="false" outlineLevel="0" collapsed="false">
      <c r="A22" s="8" t="s">
        <v>174</v>
      </c>
      <c r="B22" s="8" t="s">
        <v>46</v>
      </c>
      <c r="C22" s="16" t="s">
        <v>7</v>
      </c>
      <c r="D22" s="8" t="s">
        <v>136</v>
      </c>
      <c r="E22" s="8" t="s">
        <v>175</v>
      </c>
      <c r="F22" s="19" t="s">
        <v>11</v>
      </c>
      <c r="G22" s="8" t="s">
        <v>176</v>
      </c>
      <c r="H22" s="8" t="s">
        <v>17</v>
      </c>
      <c r="I22" s="8" t="s">
        <v>177</v>
      </c>
      <c r="J22" s="8" t="s">
        <v>178</v>
      </c>
      <c r="K22" s="8" t="s">
        <v>52</v>
      </c>
      <c r="L22" s="8" t="s">
        <v>179</v>
      </c>
      <c r="M22" s="8" t="s">
        <v>180</v>
      </c>
      <c r="N22" s="8" t="s">
        <v>21</v>
      </c>
      <c r="O22" s="8" t="s">
        <v>181</v>
      </c>
    </row>
    <row r="23" customFormat="false" ht="57.45" hidden="false" customHeight="false" outlineLevel="0" collapsed="false">
      <c r="A23" s="8" t="s">
        <v>182</v>
      </c>
      <c r="B23" s="8" t="s">
        <v>46</v>
      </c>
      <c r="C23" s="14" t="s">
        <v>5</v>
      </c>
      <c r="D23" s="8" t="s">
        <v>183</v>
      </c>
      <c r="E23" s="8" t="s">
        <v>184</v>
      </c>
      <c r="F23" s="12" t="s">
        <v>8</v>
      </c>
      <c r="G23" s="8" t="s">
        <v>185</v>
      </c>
      <c r="H23" s="11" t="s">
        <v>14</v>
      </c>
      <c r="I23" s="8" t="s">
        <v>186</v>
      </c>
      <c r="J23" s="8" t="s">
        <v>187</v>
      </c>
      <c r="K23" s="8" t="s">
        <v>52</v>
      </c>
      <c r="L23" s="8" t="s">
        <v>154</v>
      </c>
      <c r="M23" s="8" t="s">
        <v>63</v>
      </c>
      <c r="N23" s="8" t="s">
        <v>21</v>
      </c>
      <c r="O23" s="8" t="s">
        <v>112</v>
      </c>
    </row>
    <row r="24" customFormat="false" ht="57.45" hidden="false" customHeight="false" outlineLevel="0" collapsed="false">
      <c r="A24" s="8" t="s">
        <v>188</v>
      </c>
      <c r="B24" s="8" t="s">
        <v>46</v>
      </c>
      <c r="C24" s="14" t="s">
        <v>5</v>
      </c>
      <c r="D24" s="8" t="s">
        <v>183</v>
      </c>
      <c r="E24" s="8" t="s">
        <v>189</v>
      </c>
      <c r="F24" s="10" t="s">
        <v>9</v>
      </c>
      <c r="G24" s="8" t="s">
        <v>190</v>
      </c>
      <c r="H24" s="11" t="s">
        <v>14</v>
      </c>
      <c r="I24" s="8" t="s">
        <v>191</v>
      </c>
      <c r="J24" s="8" t="s">
        <v>192</v>
      </c>
      <c r="K24" s="8" t="s">
        <v>78</v>
      </c>
      <c r="L24" s="8" t="s">
        <v>193</v>
      </c>
      <c r="M24" s="8" t="s">
        <v>54</v>
      </c>
      <c r="N24" s="8" t="s">
        <v>22</v>
      </c>
      <c r="O24" s="8" t="s">
        <v>194</v>
      </c>
    </row>
    <row r="25" customFormat="false" ht="68.65" hidden="false" customHeight="false" outlineLevel="0" collapsed="false">
      <c r="A25" s="8" t="s">
        <v>195</v>
      </c>
      <c r="B25" s="8" t="s">
        <v>46</v>
      </c>
      <c r="C25" s="14" t="s">
        <v>5</v>
      </c>
      <c r="D25" s="8" t="s">
        <v>196</v>
      </c>
      <c r="E25" s="8" t="s">
        <v>197</v>
      </c>
      <c r="F25" s="10" t="s">
        <v>9</v>
      </c>
      <c r="G25" s="8" t="s">
        <v>198</v>
      </c>
      <c r="H25" s="13" t="s">
        <v>15</v>
      </c>
      <c r="I25" s="8" t="s">
        <v>199</v>
      </c>
      <c r="J25" s="8" t="s">
        <v>200</v>
      </c>
      <c r="K25" s="8" t="s">
        <v>52</v>
      </c>
      <c r="L25" s="8" t="s">
        <v>201</v>
      </c>
      <c r="M25" s="8" t="s">
        <v>54</v>
      </c>
      <c r="N25" s="8" t="s">
        <v>22</v>
      </c>
      <c r="O25" s="8" t="s">
        <v>112</v>
      </c>
    </row>
    <row r="26" customFormat="false" ht="35.05" hidden="false" customHeight="false" outlineLevel="0" collapsed="false">
      <c r="A26" s="8" t="s">
        <v>202</v>
      </c>
      <c r="B26" s="8" t="s">
        <v>46</v>
      </c>
      <c r="C26" s="15" t="s">
        <v>6</v>
      </c>
      <c r="D26" s="8" t="s">
        <v>183</v>
      </c>
      <c r="E26" s="8" t="s">
        <v>203</v>
      </c>
      <c r="F26" s="12" t="s">
        <v>8</v>
      </c>
      <c r="G26" s="8" t="s">
        <v>204</v>
      </c>
      <c r="H26" s="11" t="s">
        <v>14</v>
      </c>
      <c r="I26" s="8" t="s">
        <v>205</v>
      </c>
      <c r="J26" s="8" t="s">
        <v>206</v>
      </c>
      <c r="K26" s="8" t="s">
        <v>52</v>
      </c>
      <c r="L26" s="8" t="s">
        <v>154</v>
      </c>
      <c r="M26" s="8" t="s">
        <v>63</v>
      </c>
      <c r="N26" s="8" t="s">
        <v>21</v>
      </c>
      <c r="O26" s="8" t="s">
        <v>112</v>
      </c>
    </row>
    <row r="27" customFormat="false" ht="46.25" hidden="false" customHeight="false" outlineLevel="0" collapsed="false">
      <c r="A27" s="8" t="s">
        <v>207</v>
      </c>
      <c r="B27" s="8" t="s">
        <v>46</v>
      </c>
      <c r="C27" s="15" t="s">
        <v>6</v>
      </c>
      <c r="D27" s="8" t="s">
        <v>183</v>
      </c>
      <c r="E27" s="8" t="s">
        <v>208</v>
      </c>
      <c r="F27" s="12" t="s">
        <v>8</v>
      </c>
      <c r="G27" s="8" t="s">
        <v>209</v>
      </c>
      <c r="H27" s="11" t="s">
        <v>14</v>
      </c>
      <c r="I27" s="8" t="s">
        <v>210</v>
      </c>
      <c r="J27" s="8" t="s">
        <v>211</v>
      </c>
      <c r="K27" s="8" t="s">
        <v>52</v>
      </c>
      <c r="L27" s="8" t="s">
        <v>154</v>
      </c>
      <c r="M27" s="8" t="s">
        <v>63</v>
      </c>
      <c r="N27" s="8" t="s">
        <v>21</v>
      </c>
      <c r="O27" s="8" t="s">
        <v>112</v>
      </c>
    </row>
    <row r="28" customFormat="false" ht="57.45" hidden="false" customHeight="false" outlineLevel="0" collapsed="false">
      <c r="A28" s="8" t="s">
        <v>212</v>
      </c>
      <c r="B28" s="8" t="s">
        <v>46</v>
      </c>
      <c r="C28" s="15" t="s">
        <v>6</v>
      </c>
      <c r="D28" s="8" t="s">
        <v>183</v>
      </c>
      <c r="E28" s="8" t="s">
        <v>213</v>
      </c>
      <c r="F28" s="10" t="s">
        <v>9</v>
      </c>
      <c r="G28" s="8" t="s">
        <v>214</v>
      </c>
      <c r="H28" s="11" t="s">
        <v>14</v>
      </c>
      <c r="I28" s="8" t="s">
        <v>215</v>
      </c>
      <c r="J28" s="8" t="s">
        <v>216</v>
      </c>
      <c r="K28" s="8" t="s">
        <v>52</v>
      </c>
      <c r="L28" s="8" t="s">
        <v>217</v>
      </c>
      <c r="M28" s="8" t="s">
        <v>54</v>
      </c>
      <c r="N28" s="8" t="s">
        <v>22</v>
      </c>
      <c r="O28" s="8" t="s">
        <v>218</v>
      </c>
    </row>
    <row r="29" customFormat="false" ht="46.25" hidden="false" customHeight="false" outlineLevel="0" collapsed="false">
      <c r="A29" s="8" t="s">
        <v>219</v>
      </c>
      <c r="B29" s="8" t="s">
        <v>46</v>
      </c>
      <c r="C29" s="16" t="s">
        <v>7</v>
      </c>
      <c r="D29" s="8" t="s">
        <v>183</v>
      </c>
      <c r="E29" s="8" t="s">
        <v>220</v>
      </c>
      <c r="F29" s="19" t="s">
        <v>11</v>
      </c>
      <c r="G29" s="8" t="s">
        <v>221</v>
      </c>
      <c r="H29" s="8" t="s">
        <v>12</v>
      </c>
      <c r="I29" s="8" t="s">
        <v>222</v>
      </c>
      <c r="J29" s="8" t="s">
        <v>173</v>
      </c>
      <c r="K29" s="8" t="s">
        <v>78</v>
      </c>
      <c r="L29" s="8" t="s">
        <v>179</v>
      </c>
      <c r="M29" s="8" t="s">
        <v>180</v>
      </c>
      <c r="N29" s="8" t="s">
        <v>21</v>
      </c>
      <c r="O29" s="8" t="s">
        <v>112</v>
      </c>
    </row>
    <row r="30" customFormat="false" ht="57.45" hidden="false" customHeight="false" outlineLevel="0" collapsed="false">
      <c r="A30" s="8" t="s">
        <v>223</v>
      </c>
      <c r="B30" s="8" t="s">
        <v>46</v>
      </c>
      <c r="C30" s="15" t="s">
        <v>6</v>
      </c>
      <c r="D30" s="8" t="s">
        <v>183</v>
      </c>
      <c r="E30" s="8" t="s">
        <v>224</v>
      </c>
      <c r="F30" s="12" t="s">
        <v>8</v>
      </c>
      <c r="G30" s="8" t="s">
        <v>225</v>
      </c>
      <c r="H30" s="13" t="s">
        <v>15</v>
      </c>
      <c r="I30" s="8" t="s">
        <v>226</v>
      </c>
      <c r="J30" s="8" t="s">
        <v>227</v>
      </c>
      <c r="K30" s="8" t="s">
        <v>52</v>
      </c>
      <c r="L30" s="8" t="s">
        <v>228</v>
      </c>
      <c r="M30" s="8" t="s">
        <v>63</v>
      </c>
      <c r="N30" s="8" t="s">
        <v>21</v>
      </c>
      <c r="O30" s="8" t="s">
        <v>112</v>
      </c>
    </row>
    <row r="31" customFormat="false" ht="57.45" hidden="false" customHeight="false" outlineLevel="0" collapsed="false">
      <c r="A31" s="8" t="s">
        <v>229</v>
      </c>
      <c r="B31" s="8" t="s">
        <v>46</v>
      </c>
      <c r="C31" s="9" t="s">
        <v>4</v>
      </c>
      <c r="D31" s="8" t="s">
        <v>230</v>
      </c>
      <c r="E31" s="8" t="s">
        <v>231</v>
      </c>
      <c r="F31" s="12" t="s">
        <v>8</v>
      </c>
      <c r="G31" s="8" t="s">
        <v>232</v>
      </c>
      <c r="H31" s="13" t="s">
        <v>15</v>
      </c>
      <c r="I31" s="8" t="s">
        <v>233</v>
      </c>
      <c r="J31" s="8" t="s">
        <v>234</v>
      </c>
      <c r="K31" s="8" t="s">
        <v>78</v>
      </c>
      <c r="L31" s="8" t="s">
        <v>235</v>
      </c>
      <c r="M31" s="8" t="s">
        <v>63</v>
      </c>
      <c r="N31" s="8" t="s">
        <v>21</v>
      </c>
      <c r="O31" s="8" t="s">
        <v>236</v>
      </c>
    </row>
    <row r="32" customFormat="false" ht="46.25" hidden="false" customHeight="false" outlineLevel="0" collapsed="false">
      <c r="A32" s="8" t="s">
        <v>237</v>
      </c>
      <c r="B32" s="8" t="s">
        <v>46</v>
      </c>
      <c r="C32" s="14" t="s">
        <v>5</v>
      </c>
      <c r="D32" s="8" t="s">
        <v>238</v>
      </c>
      <c r="E32" s="8" t="s">
        <v>239</v>
      </c>
      <c r="F32" s="12" t="s">
        <v>8</v>
      </c>
      <c r="G32" s="8" t="s">
        <v>240</v>
      </c>
      <c r="H32" s="11" t="s">
        <v>14</v>
      </c>
      <c r="I32" s="8" t="s">
        <v>241</v>
      </c>
      <c r="J32" s="8" t="s">
        <v>242</v>
      </c>
      <c r="K32" s="8" t="s">
        <v>78</v>
      </c>
      <c r="L32" s="8" t="s">
        <v>243</v>
      </c>
      <c r="M32" s="8" t="s">
        <v>63</v>
      </c>
      <c r="N32" s="8" t="s">
        <v>21</v>
      </c>
      <c r="O32" s="8" t="s">
        <v>112</v>
      </c>
    </row>
    <row r="33" customFormat="false" ht="68.65" hidden="false" customHeight="false" outlineLevel="0" collapsed="false">
      <c r="A33" s="8" t="s">
        <v>244</v>
      </c>
      <c r="B33" s="8" t="s">
        <v>46</v>
      </c>
      <c r="C33" s="15" t="s">
        <v>6</v>
      </c>
      <c r="D33" s="8" t="s">
        <v>230</v>
      </c>
      <c r="E33" s="8" t="s">
        <v>245</v>
      </c>
      <c r="F33" s="10" t="s">
        <v>9</v>
      </c>
      <c r="G33" s="8" t="s">
        <v>246</v>
      </c>
      <c r="H33" s="13" t="s">
        <v>15</v>
      </c>
      <c r="I33" s="8" t="s">
        <v>247</v>
      </c>
      <c r="J33" s="8" t="s">
        <v>248</v>
      </c>
      <c r="K33" s="8" t="s">
        <v>52</v>
      </c>
      <c r="L33" s="8" t="s">
        <v>249</v>
      </c>
      <c r="M33" s="8" t="s">
        <v>54</v>
      </c>
      <c r="N33" s="8" t="s">
        <v>22</v>
      </c>
      <c r="O33" s="8" t="s">
        <v>112</v>
      </c>
    </row>
    <row r="34" customFormat="false" ht="46.25" hidden="false" customHeight="false" outlineLevel="0" collapsed="false">
      <c r="A34" s="8" t="s">
        <v>250</v>
      </c>
      <c r="B34" s="8" t="s">
        <v>46</v>
      </c>
      <c r="C34" s="15" t="s">
        <v>6</v>
      </c>
      <c r="D34" s="8" t="s">
        <v>230</v>
      </c>
      <c r="E34" s="8" t="s">
        <v>251</v>
      </c>
      <c r="F34" s="12" t="s">
        <v>8</v>
      </c>
      <c r="G34" s="8" t="s">
        <v>252</v>
      </c>
      <c r="H34" s="11" t="s">
        <v>14</v>
      </c>
      <c r="I34" s="8" t="s">
        <v>253</v>
      </c>
      <c r="J34" s="8" t="s">
        <v>254</v>
      </c>
      <c r="K34" s="8" t="s">
        <v>78</v>
      </c>
      <c r="L34" s="8" t="s">
        <v>154</v>
      </c>
      <c r="M34" s="8" t="s">
        <v>63</v>
      </c>
      <c r="N34" s="8" t="s">
        <v>21</v>
      </c>
      <c r="O34" s="8" t="s">
        <v>112</v>
      </c>
    </row>
    <row r="35" customFormat="false" ht="57.45" hidden="false" customHeight="false" outlineLevel="0" collapsed="false">
      <c r="A35" s="8" t="s">
        <v>255</v>
      </c>
      <c r="B35" s="8" t="s">
        <v>46</v>
      </c>
      <c r="C35" s="15" t="s">
        <v>6</v>
      </c>
      <c r="D35" s="8" t="s">
        <v>230</v>
      </c>
      <c r="E35" s="8" t="s">
        <v>256</v>
      </c>
      <c r="F35" s="12" t="s">
        <v>8</v>
      </c>
      <c r="G35" s="8" t="s">
        <v>257</v>
      </c>
      <c r="H35" s="11" t="s">
        <v>14</v>
      </c>
      <c r="I35" s="8" t="s">
        <v>258</v>
      </c>
      <c r="J35" s="8" t="s">
        <v>259</v>
      </c>
      <c r="K35" s="8" t="s">
        <v>78</v>
      </c>
      <c r="L35" s="8" t="s">
        <v>260</v>
      </c>
      <c r="M35" s="8" t="s">
        <v>63</v>
      </c>
      <c r="N35" s="8" t="s">
        <v>21</v>
      </c>
      <c r="O35" s="8" t="s">
        <v>112</v>
      </c>
    </row>
    <row r="36" customFormat="false" ht="46.25" hidden="false" customHeight="false" outlineLevel="0" collapsed="false">
      <c r="A36" s="8" t="s">
        <v>261</v>
      </c>
      <c r="B36" s="8" t="s">
        <v>46</v>
      </c>
      <c r="C36" s="15" t="s">
        <v>6</v>
      </c>
      <c r="D36" s="8" t="s">
        <v>230</v>
      </c>
      <c r="E36" s="8" t="s">
        <v>262</v>
      </c>
      <c r="F36" s="20" t="s">
        <v>10</v>
      </c>
      <c r="G36" s="8" t="s">
        <v>263</v>
      </c>
      <c r="H36" s="11" t="s">
        <v>14</v>
      </c>
      <c r="I36" s="8" t="s">
        <v>264</v>
      </c>
      <c r="J36" s="8" t="s">
        <v>265</v>
      </c>
      <c r="K36" s="8" t="s">
        <v>78</v>
      </c>
      <c r="L36" s="8" t="s">
        <v>266</v>
      </c>
      <c r="M36" s="8" t="s">
        <v>54</v>
      </c>
      <c r="N36" s="8" t="s">
        <v>23</v>
      </c>
      <c r="O36" s="8" t="s">
        <v>112</v>
      </c>
    </row>
    <row r="37" customFormat="false" ht="57.45" hidden="false" customHeight="false" outlineLevel="0" collapsed="false">
      <c r="A37" s="8" t="s">
        <v>267</v>
      </c>
      <c r="B37" s="8" t="s">
        <v>46</v>
      </c>
      <c r="C37" s="15" t="s">
        <v>6</v>
      </c>
      <c r="D37" s="8" t="s">
        <v>230</v>
      </c>
      <c r="E37" s="8" t="s">
        <v>268</v>
      </c>
      <c r="F37" s="10" t="s">
        <v>9</v>
      </c>
      <c r="G37" s="8" t="s">
        <v>269</v>
      </c>
      <c r="H37" s="11" t="s">
        <v>14</v>
      </c>
      <c r="I37" s="8" t="s">
        <v>270</v>
      </c>
      <c r="J37" s="8" t="s">
        <v>271</v>
      </c>
      <c r="K37" s="8" t="s">
        <v>52</v>
      </c>
      <c r="L37" s="8" t="s">
        <v>272</v>
      </c>
      <c r="M37" s="8" t="s">
        <v>273</v>
      </c>
      <c r="N37" s="8" t="s">
        <v>22</v>
      </c>
      <c r="O37" s="8" t="s">
        <v>274</v>
      </c>
    </row>
    <row r="38" customFormat="false" ht="57.45" hidden="false" customHeight="false" outlineLevel="0" collapsed="false">
      <c r="A38" s="8" t="s">
        <v>275</v>
      </c>
      <c r="B38" s="8" t="s">
        <v>46</v>
      </c>
      <c r="C38" s="16" t="s">
        <v>7</v>
      </c>
      <c r="D38" s="8" t="s">
        <v>230</v>
      </c>
      <c r="E38" s="8" t="s">
        <v>276</v>
      </c>
      <c r="F38" s="10" t="s">
        <v>9</v>
      </c>
      <c r="G38" s="8" t="s">
        <v>277</v>
      </c>
      <c r="H38" s="13" t="s">
        <v>15</v>
      </c>
      <c r="I38" s="8" t="s">
        <v>278</v>
      </c>
      <c r="J38" s="8" t="s">
        <v>279</v>
      </c>
      <c r="K38" s="8" t="s">
        <v>52</v>
      </c>
      <c r="L38" s="8" t="s">
        <v>280</v>
      </c>
      <c r="M38" s="8" t="s">
        <v>54</v>
      </c>
      <c r="N38" s="8" t="s">
        <v>22</v>
      </c>
      <c r="O38" s="8" t="s">
        <v>112</v>
      </c>
    </row>
    <row r="39" customFormat="false" ht="79.85" hidden="false" customHeight="false" outlineLevel="0" collapsed="false">
      <c r="A39" s="8" t="s">
        <v>281</v>
      </c>
      <c r="B39" s="8" t="s">
        <v>46</v>
      </c>
      <c r="C39" s="9" t="s">
        <v>4</v>
      </c>
      <c r="D39" s="8" t="s">
        <v>282</v>
      </c>
      <c r="E39" s="8" t="s">
        <v>283</v>
      </c>
      <c r="F39" s="12" t="s">
        <v>8</v>
      </c>
      <c r="G39" s="8" t="s">
        <v>284</v>
      </c>
      <c r="H39" s="11" t="s">
        <v>14</v>
      </c>
      <c r="I39" s="8" t="s">
        <v>285</v>
      </c>
      <c r="J39" s="8" t="s">
        <v>286</v>
      </c>
      <c r="K39" s="8" t="s">
        <v>52</v>
      </c>
      <c r="L39" s="8" t="s">
        <v>287</v>
      </c>
      <c r="M39" s="8" t="s">
        <v>288</v>
      </c>
      <c r="N39" s="8" t="s">
        <v>21</v>
      </c>
      <c r="O39" s="8" t="s">
        <v>289</v>
      </c>
    </row>
    <row r="40" customFormat="false" ht="68.65" hidden="false" customHeight="false" outlineLevel="0" collapsed="false">
      <c r="A40" s="8" t="s">
        <v>290</v>
      </c>
      <c r="B40" s="8" t="s">
        <v>46</v>
      </c>
      <c r="C40" s="14" t="s">
        <v>5</v>
      </c>
      <c r="D40" s="8" t="s">
        <v>291</v>
      </c>
      <c r="E40" s="8" t="s">
        <v>292</v>
      </c>
      <c r="F40" s="20" t="s">
        <v>10</v>
      </c>
      <c r="G40" s="8" t="s">
        <v>293</v>
      </c>
      <c r="H40" s="11" t="s">
        <v>14</v>
      </c>
      <c r="I40" s="8" t="s">
        <v>294</v>
      </c>
      <c r="J40" s="8" t="s">
        <v>295</v>
      </c>
      <c r="K40" s="8" t="s">
        <v>78</v>
      </c>
      <c r="L40" s="8" t="s">
        <v>296</v>
      </c>
      <c r="M40" s="8" t="s">
        <v>273</v>
      </c>
      <c r="N40" s="8" t="s">
        <v>23</v>
      </c>
      <c r="O40" s="8" t="s">
        <v>297</v>
      </c>
    </row>
    <row r="41" customFormat="false" ht="57.45" hidden="false" customHeight="false" outlineLevel="0" collapsed="false">
      <c r="A41" s="8" t="s">
        <v>298</v>
      </c>
      <c r="B41" s="8" t="s">
        <v>46</v>
      </c>
      <c r="C41" s="15" t="s">
        <v>6</v>
      </c>
      <c r="D41" s="8" t="s">
        <v>299</v>
      </c>
      <c r="E41" s="8" t="s">
        <v>300</v>
      </c>
      <c r="F41" s="12" t="s">
        <v>8</v>
      </c>
      <c r="G41" s="8" t="s">
        <v>301</v>
      </c>
      <c r="H41" s="13" t="s">
        <v>15</v>
      </c>
      <c r="I41" s="8" t="s">
        <v>302</v>
      </c>
      <c r="J41" s="8" t="s">
        <v>303</v>
      </c>
      <c r="K41" s="8" t="s">
        <v>52</v>
      </c>
      <c r="L41" s="8" t="s">
        <v>304</v>
      </c>
      <c r="M41" s="8" t="s">
        <v>63</v>
      </c>
      <c r="N41" s="8" t="s">
        <v>21</v>
      </c>
      <c r="O41" s="8" t="s">
        <v>305</v>
      </c>
    </row>
    <row r="42" customFormat="false" ht="46.25" hidden="false" customHeight="false" outlineLevel="0" collapsed="false">
      <c r="A42" s="8" t="s">
        <v>306</v>
      </c>
      <c r="B42" s="8" t="s">
        <v>46</v>
      </c>
      <c r="C42" s="15" t="s">
        <v>6</v>
      </c>
      <c r="D42" s="8" t="s">
        <v>282</v>
      </c>
      <c r="E42" s="8" t="s">
        <v>307</v>
      </c>
      <c r="F42" s="12" t="s">
        <v>8</v>
      </c>
      <c r="G42" s="8" t="s">
        <v>308</v>
      </c>
      <c r="H42" s="13" t="s">
        <v>15</v>
      </c>
      <c r="I42" s="8" t="s">
        <v>309</v>
      </c>
      <c r="J42" s="8" t="s">
        <v>310</v>
      </c>
      <c r="K42" s="8" t="s">
        <v>52</v>
      </c>
      <c r="L42" s="8" t="s">
        <v>311</v>
      </c>
      <c r="M42" s="8" t="s">
        <v>288</v>
      </c>
      <c r="N42" s="8" t="s">
        <v>21</v>
      </c>
      <c r="O42" s="8" t="s">
        <v>112</v>
      </c>
    </row>
    <row r="43" customFormat="false" ht="46.25" hidden="false" customHeight="false" outlineLevel="0" collapsed="false">
      <c r="A43" s="8" t="s">
        <v>312</v>
      </c>
      <c r="B43" s="8" t="s">
        <v>46</v>
      </c>
      <c r="C43" s="15" t="s">
        <v>6</v>
      </c>
      <c r="D43" s="8" t="s">
        <v>282</v>
      </c>
      <c r="E43" s="8" t="s">
        <v>313</v>
      </c>
      <c r="F43" s="10" t="s">
        <v>9</v>
      </c>
      <c r="G43" s="8" t="s">
        <v>314</v>
      </c>
      <c r="H43" s="11" t="s">
        <v>14</v>
      </c>
      <c r="I43" s="8" t="s">
        <v>315</v>
      </c>
      <c r="J43" s="8" t="s">
        <v>316</v>
      </c>
      <c r="K43" s="8" t="s">
        <v>52</v>
      </c>
      <c r="L43" s="8" t="s">
        <v>317</v>
      </c>
      <c r="M43" s="8" t="s">
        <v>54</v>
      </c>
      <c r="N43" s="8" t="s">
        <v>22</v>
      </c>
      <c r="O43" s="8" t="s">
        <v>112</v>
      </c>
    </row>
    <row r="44" customFormat="false" ht="68.65" hidden="false" customHeight="false" outlineLevel="0" collapsed="false">
      <c r="A44" s="8" t="s">
        <v>318</v>
      </c>
      <c r="B44" s="8" t="s">
        <v>46</v>
      </c>
      <c r="C44" s="15" t="s">
        <v>6</v>
      </c>
      <c r="D44" s="8" t="s">
        <v>282</v>
      </c>
      <c r="E44" s="8" t="s">
        <v>319</v>
      </c>
      <c r="F44" s="10" t="s">
        <v>9</v>
      </c>
      <c r="G44" s="8" t="s">
        <v>320</v>
      </c>
      <c r="H44" s="13" t="s">
        <v>15</v>
      </c>
      <c r="I44" s="8" t="s">
        <v>321</v>
      </c>
      <c r="J44" s="8" t="s">
        <v>322</v>
      </c>
      <c r="K44" s="8" t="s">
        <v>52</v>
      </c>
      <c r="L44" s="8" t="s">
        <v>323</v>
      </c>
      <c r="M44" s="8" t="s">
        <v>273</v>
      </c>
      <c r="N44" s="8" t="s">
        <v>22</v>
      </c>
      <c r="O44" s="8" t="s">
        <v>324</v>
      </c>
    </row>
    <row r="45" customFormat="false" ht="35.05" hidden="false" customHeight="false" outlineLevel="0" collapsed="false">
      <c r="A45" s="8" t="s">
        <v>325</v>
      </c>
      <c r="B45" s="8" t="s">
        <v>46</v>
      </c>
      <c r="C45" s="16" t="s">
        <v>7</v>
      </c>
      <c r="D45" s="8" t="s">
        <v>282</v>
      </c>
      <c r="E45" s="8" t="s">
        <v>326</v>
      </c>
      <c r="F45" s="19" t="s">
        <v>11</v>
      </c>
      <c r="G45" s="8" t="s">
        <v>327</v>
      </c>
      <c r="H45" s="11" t="s">
        <v>14</v>
      </c>
      <c r="I45" s="8" t="s">
        <v>328</v>
      </c>
      <c r="J45" s="8" t="s">
        <v>173</v>
      </c>
      <c r="K45" s="8" t="s">
        <v>78</v>
      </c>
      <c r="L45" s="8" t="s">
        <v>179</v>
      </c>
      <c r="M45" s="8" t="s">
        <v>329</v>
      </c>
      <c r="N45" s="8" t="s">
        <v>21</v>
      </c>
      <c r="O45" s="8" t="s">
        <v>112</v>
      </c>
    </row>
    <row r="46" customFormat="false" ht="79.85" hidden="false" customHeight="false" outlineLevel="0" collapsed="false">
      <c r="A46" s="8" t="s">
        <v>330</v>
      </c>
      <c r="B46" s="8" t="s">
        <v>46</v>
      </c>
      <c r="C46" s="14" t="s">
        <v>5</v>
      </c>
      <c r="D46" s="8" t="s">
        <v>331</v>
      </c>
      <c r="E46" s="8" t="s">
        <v>332</v>
      </c>
      <c r="F46" s="10" t="s">
        <v>9</v>
      </c>
      <c r="G46" s="8" t="s">
        <v>333</v>
      </c>
      <c r="H46" s="13" t="s">
        <v>15</v>
      </c>
      <c r="I46" s="8" t="s">
        <v>334</v>
      </c>
      <c r="J46" s="8" t="s">
        <v>335</v>
      </c>
      <c r="K46" s="8" t="s">
        <v>52</v>
      </c>
      <c r="L46" s="8" t="s">
        <v>336</v>
      </c>
      <c r="M46" s="8" t="s">
        <v>54</v>
      </c>
      <c r="N46" s="8" t="s">
        <v>22</v>
      </c>
      <c r="O46" s="8" t="s">
        <v>337</v>
      </c>
    </row>
    <row r="47" customFormat="false" ht="46.25" hidden="false" customHeight="false" outlineLevel="0" collapsed="false">
      <c r="A47" s="8" t="s">
        <v>338</v>
      </c>
      <c r="B47" s="8" t="s">
        <v>46</v>
      </c>
      <c r="C47" s="15" t="s">
        <v>6</v>
      </c>
      <c r="D47" s="8" t="s">
        <v>331</v>
      </c>
      <c r="E47" s="8" t="s">
        <v>339</v>
      </c>
      <c r="F47" s="12" t="s">
        <v>8</v>
      </c>
      <c r="G47" s="8" t="s">
        <v>340</v>
      </c>
      <c r="H47" s="8" t="s">
        <v>12</v>
      </c>
      <c r="I47" s="8" t="s">
        <v>341</v>
      </c>
      <c r="J47" s="8" t="s">
        <v>342</v>
      </c>
      <c r="K47" s="8" t="s">
        <v>52</v>
      </c>
      <c r="L47" s="8" t="s">
        <v>154</v>
      </c>
      <c r="M47" s="8" t="s">
        <v>343</v>
      </c>
      <c r="N47" s="8" t="s">
        <v>21</v>
      </c>
      <c r="O47" s="8" t="s">
        <v>112</v>
      </c>
    </row>
    <row r="48" customFormat="false" ht="57.45" hidden="false" customHeight="false" outlineLevel="0" collapsed="false">
      <c r="A48" s="8" t="s">
        <v>344</v>
      </c>
      <c r="B48" s="8" t="s">
        <v>46</v>
      </c>
      <c r="C48" s="15" t="s">
        <v>6</v>
      </c>
      <c r="D48" s="8" t="s">
        <v>331</v>
      </c>
      <c r="E48" s="8" t="s">
        <v>345</v>
      </c>
      <c r="F48" s="12" t="s">
        <v>8</v>
      </c>
      <c r="G48" s="8" t="s">
        <v>346</v>
      </c>
      <c r="H48" s="8" t="s">
        <v>17</v>
      </c>
      <c r="I48" s="8" t="s">
        <v>347</v>
      </c>
      <c r="J48" s="8" t="s">
        <v>348</v>
      </c>
      <c r="K48" s="8" t="s">
        <v>78</v>
      </c>
      <c r="L48" s="8" t="s">
        <v>349</v>
      </c>
      <c r="M48" s="8" t="s">
        <v>350</v>
      </c>
      <c r="N48" s="8" t="s">
        <v>21</v>
      </c>
      <c r="O48" s="8" t="s">
        <v>112</v>
      </c>
    </row>
    <row r="49" customFormat="false" ht="79.85" hidden="false" customHeight="false" outlineLevel="0" collapsed="false">
      <c r="A49" s="8" t="s">
        <v>351</v>
      </c>
      <c r="B49" s="8" t="s">
        <v>46</v>
      </c>
      <c r="C49" s="14" t="s">
        <v>5</v>
      </c>
      <c r="D49" s="8" t="s">
        <v>352</v>
      </c>
      <c r="E49" s="8" t="s">
        <v>353</v>
      </c>
      <c r="F49" s="10" t="s">
        <v>9</v>
      </c>
      <c r="G49" s="8" t="s">
        <v>354</v>
      </c>
      <c r="H49" s="8" t="s">
        <v>17</v>
      </c>
      <c r="I49" s="8" t="s">
        <v>355</v>
      </c>
      <c r="J49" s="8" t="s">
        <v>356</v>
      </c>
      <c r="K49" s="8" t="s">
        <v>52</v>
      </c>
      <c r="L49" s="8" t="s">
        <v>357</v>
      </c>
      <c r="M49" s="8" t="s">
        <v>42</v>
      </c>
      <c r="N49" s="8" t="s">
        <v>22</v>
      </c>
      <c r="O49" s="8" t="s">
        <v>358</v>
      </c>
    </row>
    <row r="50" customFormat="false" ht="57.45" hidden="false" customHeight="false" outlineLevel="0" collapsed="false">
      <c r="A50" s="8" t="s">
        <v>359</v>
      </c>
      <c r="B50" s="8" t="s">
        <v>46</v>
      </c>
      <c r="C50" s="14" t="s">
        <v>5</v>
      </c>
      <c r="D50" s="8" t="s">
        <v>352</v>
      </c>
      <c r="E50" s="8" t="s">
        <v>360</v>
      </c>
      <c r="F50" s="12" t="s">
        <v>8</v>
      </c>
      <c r="G50" s="8" t="s">
        <v>361</v>
      </c>
      <c r="H50" s="13" t="s">
        <v>15</v>
      </c>
      <c r="I50" s="8" t="s">
        <v>362</v>
      </c>
      <c r="J50" s="8" t="s">
        <v>363</v>
      </c>
      <c r="K50" s="8" t="s">
        <v>52</v>
      </c>
      <c r="L50" s="8" t="s">
        <v>364</v>
      </c>
      <c r="M50" s="8" t="s">
        <v>63</v>
      </c>
      <c r="N50" s="8" t="s">
        <v>21</v>
      </c>
      <c r="O50" s="8" t="s">
        <v>365</v>
      </c>
    </row>
    <row r="51" customFormat="false" ht="46.25" hidden="false" customHeight="false" outlineLevel="0" collapsed="false">
      <c r="A51" s="8" t="s">
        <v>366</v>
      </c>
      <c r="B51" s="8" t="s">
        <v>46</v>
      </c>
      <c r="C51" s="14" t="s">
        <v>5</v>
      </c>
      <c r="D51" s="8" t="s">
        <v>352</v>
      </c>
      <c r="E51" s="8" t="s">
        <v>367</v>
      </c>
      <c r="F51" s="12" t="s">
        <v>8</v>
      </c>
      <c r="G51" s="8" t="s">
        <v>368</v>
      </c>
      <c r="H51" s="8" t="s">
        <v>12</v>
      </c>
      <c r="I51" s="8" t="s">
        <v>369</v>
      </c>
      <c r="J51" s="8" t="s">
        <v>370</v>
      </c>
      <c r="K51" s="8" t="s">
        <v>78</v>
      </c>
      <c r="L51" s="8" t="s">
        <v>371</v>
      </c>
      <c r="M51" s="8" t="s">
        <v>343</v>
      </c>
      <c r="N51" s="8" t="s">
        <v>21</v>
      </c>
      <c r="O51" s="8" t="s">
        <v>372</v>
      </c>
    </row>
    <row r="52" customFormat="false" ht="91" hidden="false" customHeight="false" outlineLevel="0" collapsed="false">
      <c r="A52" s="8" t="s">
        <v>373</v>
      </c>
      <c r="B52" s="8" t="s">
        <v>46</v>
      </c>
      <c r="C52" s="14" t="s">
        <v>5</v>
      </c>
      <c r="D52" s="8" t="s">
        <v>374</v>
      </c>
      <c r="E52" s="8" t="s">
        <v>375</v>
      </c>
      <c r="F52" s="10" t="s">
        <v>9</v>
      </c>
      <c r="G52" s="8" t="s">
        <v>376</v>
      </c>
      <c r="H52" s="11" t="s">
        <v>14</v>
      </c>
      <c r="I52" s="8" t="s">
        <v>377</v>
      </c>
      <c r="J52" s="8" t="s">
        <v>378</v>
      </c>
      <c r="K52" s="8" t="s">
        <v>52</v>
      </c>
      <c r="L52" s="8" t="s">
        <v>379</v>
      </c>
      <c r="M52" s="8" t="s">
        <v>54</v>
      </c>
      <c r="N52" s="8" t="s">
        <v>22</v>
      </c>
      <c r="O52" s="8" t="s">
        <v>380</v>
      </c>
    </row>
    <row r="53" customFormat="false" ht="46.25" hidden="false" customHeight="false" outlineLevel="0" collapsed="false">
      <c r="A53" s="8" t="s">
        <v>381</v>
      </c>
      <c r="B53" s="8" t="s">
        <v>46</v>
      </c>
      <c r="C53" s="15" t="s">
        <v>6</v>
      </c>
      <c r="D53" s="8" t="s">
        <v>374</v>
      </c>
      <c r="E53" s="8" t="s">
        <v>382</v>
      </c>
      <c r="F53" s="12" t="s">
        <v>8</v>
      </c>
      <c r="G53" s="8" t="s">
        <v>383</v>
      </c>
      <c r="H53" s="11" t="s">
        <v>14</v>
      </c>
      <c r="I53" s="8" t="s">
        <v>384</v>
      </c>
      <c r="J53" s="8" t="s">
        <v>385</v>
      </c>
      <c r="K53" s="8" t="s">
        <v>52</v>
      </c>
      <c r="L53" s="8" t="s">
        <v>154</v>
      </c>
      <c r="M53" s="8" t="s">
        <v>63</v>
      </c>
      <c r="N53" s="8" t="s">
        <v>21</v>
      </c>
      <c r="O53" s="8" t="s">
        <v>112</v>
      </c>
    </row>
    <row r="54" customFormat="false" ht="79.85" hidden="false" customHeight="false" outlineLevel="0" collapsed="false">
      <c r="A54" s="8" t="s">
        <v>386</v>
      </c>
      <c r="B54" s="8" t="s">
        <v>46</v>
      </c>
      <c r="C54" s="15" t="s">
        <v>6</v>
      </c>
      <c r="D54" s="8" t="s">
        <v>374</v>
      </c>
      <c r="E54" s="8" t="s">
        <v>387</v>
      </c>
      <c r="F54" s="12" t="s">
        <v>8</v>
      </c>
      <c r="G54" s="8" t="s">
        <v>388</v>
      </c>
      <c r="H54" s="11" t="s">
        <v>14</v>
      </c>
      <c r="I54" s="8" t="s">
        <v>389</v>
      </c>
      <c r="J54" s="8" t="s">
        <v>390</v>
      </c>
      <c r="K54" s="8" t="s">
        <v>52</v>
      </c>
      <c r="L54" s="8" t="s">
        <v>391</v>
      </c>
      <c r="M54" s="8" t="s">
        <v>63</v>
      </c>
      <c r="N54" s="8" t="s">
        <v>21</v>
      </c>
      <c r="O54" s="8" t="s">
        <v>392</v>
      </c>
    </row>
    <row r="55" customFormat="false" ht="46.25" hidden="false" customHeight="false" outlineLevel="0" collapsed="false">
      <c r="A55" s="8" t="s">
        <v>393</v>
      </c>
      <c r="B55" s="8" t="s">
        <v>46</v>
      </c>
      <c r="C55" s="15" t="s">
        <v>6</v>
      </c>
      <c r="D55" s="8" t="s">
        <v>374</v>
      </c>
      <c r="E55" s="8" t="s">
        <v>394</v>
      </c>
      <c r="F55" s="10" t="s">
        <v>9</v>
      </c>
      <c r="G55" s="8" t="s">
        <v>395</v>
      </c>
      <c r="H55" s="12" t="s">
        <v>16</v>
      </c>
      <c r="I55" s="8" t="s">
        <v>396</v>
      </c>
      <c r="J55" s="8" t="s">
        <v>397</v>
      </c>
      <c r="K55" s="8" t="s">
        <v>52</v>
      </c>
      <c r="L55" s="8" t="s">
        <v>398</v>
      </c>
      <c r="M55" s="8" t="s">
        <v>399</v>
      </c>
      <c r="N55" s="8" t="s">
        <v>22</v>
      </c>
      <c r="O55" s="8" t="s">
        <v>112</v>
      </c>
    </row>
    <row r="56" customFormat="false" ht="57.45" hidden="false" customHeight="false" outlineLevel="0" collapsed="false">
      <c r="A56" s="8" t="s">
        <v>400</v>
      </c>
      <c r="B56" s="8" t="s">
        <v>46</v>
      </c>
      <c r="C56" s="15" t="s">
        <v>6</v>
      </c>
      <c r="D56" s="8" t="s">
        <v>374</v>
      </c>
      <c r="E56" s="8" t="s">
        <v>401</v>
      </c>
      <c r="F56" s="10" t="s">
        <v>9</v>
      </c>
      <c r="G56" s="8" t="s">
        <v>402</v>
      </c>
      <c r="H56" s="13" t="s">
        <v>15</v>
      </c>
      <c r="I56" s="8" t="s">
        <v>403</v>
      </c>
      <c r="J56" s="8" t="s">
        <v>404</v>
      </c>
      <c r="K56" s="8" t="s">
        <v>52</v>
      </c>
      <c r="L56" s="8" t="s">
        <v>405</v>
      </c>
      <c r="M56" s="8" t="s">
        <v>273</v>
      </c>
      <c r="N56" s="8" t="s">
        <v>22</v>
      </c>
      <c r="O56" s="8" t="s">
        <v>112</v>
      </c>
    </row>
    <row r="57" customFormat="false" ht="46.25" hidden="false" customHeight="false" outlineLevel="0" collapsed="false">
      <c r="A57" s="8" t="s">
        <v>406</v>
      </c>
      <c r="B57" s="8" t="s">
        <v>46</v>
      </c>
      <c r="C57" s="16" t="s">
        <v>7</v>
      </c>
      <c r="D57" s="8" t="s">
        <v>374</v>
      </c>
      <c r="E57" s="8" t="s">
        <v>407</v>
      </c>
      <c r="F57" s="10" t="s">
        <v>9</v>
      </c>
      <c r="G57" s="8" t="s">
        <v>408</v>
      </c>
      <c r="H57" s="11" t="s">
        <v>14</v>
      </c>
      <c r="I57" s="8" t="s">
        <v>409</v>
      </c>
      <c r="J57" s="8" t="s">
        <v>410</v>
      </c>
      <c r="K57" s="8" t="s">
        <v>52</v>
      </c>
      <c r="L57" s="8" t="s">
        <v>411</v>
      </c>
      <c r="M57" s="8" t="s">
        <v>54</v>
      </c>
      <c r="N57" s="8" t="s">
        <v>22</v>
      </c>
      <c r="O57" s="8" t="s">
        <v>112</v>
      </c>
    </row>
    <row r="58" customFormat="false" ht="57.45" hidden="false" customHeight="false" outlineLevel="0" collapsed="false">
      <c r="A58" s="8" t="s">
        <v>412</v>
      </c>
      <c r="B58" s="8" t="s">
        <v>46</v>
      </c>
      <c r="C58" s="16" t="s">
        <v>7</v>
      </c>
      <c r="D58" s="8" t="s">
        <v>374</v>
      </c>
      <c r="E58" s="8" t="s">
        <v>413</v>
      </c>
      <c r="F58" s="12" t="s">
        <v>8</v>
      </c>
      <c r="G58" s="8" t="s">
        <v>414</v>
      </c>
      <c r="H58" s="13" t="s">
        <v>15</v>
      </c>
      <c r="I58" s="8" t="s">
        <v>415</v>
      </c>
      <c r="J58" s="8" t="s">
        <v>416</v>
      </c>
      <c r="K58" s="8" t="s">
        <v>78</v>
      </c>
      <c r="L58" s="8" t="s">
        <v>417</v>
      </c>
      <c r="M58" s="8" t="s">
        <v>63</v>
      </c>
      <c r="N58" s="8" t="s">
        <v>21</v>
      </c>
      <c r="O58" s="8" t="s">
        <v>418</v>
      </c>
    </row>
    <row r="59" customFormat="false" ht="68.65" hidden="false" customHeight="false" outlineLevel="0" collapsed="false">
      <c r="A59" s="8" t="s">
        <v>419</v>
      </c>
      <c r="B59" s="8" t="s">
        <v>46</v>
      </c>
      <c r="C59" s="9" t="s">
        <v>4</v>
      </c>
      <c r="D59" s="8" t="s">
        <v>420</v>
      </c>
      <c r="E59" s="8" t="s">
        <v>421</v>
      </c>
      <c r="F59" s="10" t="s">
        <v>9</v>
      </c>
      <c r="G59" s="8" t="s">
        <v>422</v>
      </c>
      <c r="H59" s="11" t="s">
        <v>14</v>
      </c>
      <c r="I59" s="8" t="s">
        <v>423</v>
      </c>
      <c r="J59" s="8" t="s">
        <v>424</v>
      </c>
      <c r="K59" s="8" t="s">
        <v>52</v>
      </c>
      <c r="L59" s="8" t="s">
        <v>425</v>
      </c>
      <c r="M59" s="8" t="s">
        <v>54</v>
      </c>
      <c r="N59" s="8" t="s">
        <v>22</v>
      </c>
      <c r="O59" s="8" t="s">
        <v>426</v>
      </c>
    </row>
    <row r="60" customFormat="false" ht="57.45" hidden="false" customHeight="false" outlineLevel="0" collapsed="false">
      <c r="A60" s="8" t="s">
        <v>427</v>
      </c>
      <c r="B60" s="8" t="s">
        <v>46</v>
      </c>
      <c r="C60" s="14" t="s">
        <v>5</v>
      </c>
      <c r="D60" s="8" t="s">
        <v>420</v>
      </c>
      <c r="E60" s="8" t="s">
        <v>428</v>
      </c>
      <c r="F60" s="10" t="s">
        <v>9</v>
      </c>
      <c r="G60" s="8" t="s">
        <v>429</v>
      </c>
      <c r="H60" s="8" t="s">
        <v>12</v>
      </c>
      <c r="I60" s="8" t="s">
        <v>430</v>
      </c>
      <c r="J60" s="8" t="s">
        <v>431</v>
      </c>
      <c r="K60" s="8" t="s">
        <v>78</v>
      </c>
      <c r="L60" s="8" t="s">
        <v>432</v>
      </c>
      <c r="M60" s="8" t="s">
        <v>399</v>
      </c>
      <c r="N60" s="8" t="s">
        <v>22</v>
      </c>
      <c r="O60" s="8" t="s">
        <v>433</v>
      </c>
    </row>
    <row r="61" customFormat="false" ht="68.65" hidden="false" customHeight="false" outlineLevel="0" collapsed="false">
      <c r="A61" s="8" t="s">
        <v>434</v>
      </c>
      <c r="B61" s="8" t="s">
        <v>46</v>
      </c>
      <c r="C61" s="14" t="s">
        <v>5</v>
      </c>
      <c r="D61" s="8" t="s">
        <v>420</v>
      </c>
      <c r="E61" s="8" t="s">
        <v>435</v>
      </c>
      <c r="F61" s="10" t="s">
        <v>9</v>
      </c>
      <c r="G61" s="8" t="s">
        <v>436</v>
      </c>
      <c r="H61" s="13" t="s">
        <v>15</v>
      </c>
      <c r="I61" s="8" t="s">
        <v>437</v>
      </c>
      <c r="J61" s="8" t="s">
        <v>438</v>
      </c>
      <c r="K61" s="8" t="s">
        <v>52</v>
      </c>
      <c r="L61" s="8" t="s">
        <v>439</v>
      </c>
      <c r="M61" s="8" t="s">
        <v>54</v>
      </c>
      <c r="N61" s="8" t="s">
        <v>22</v>
      </c>
      <c r="O61" s="8" t="s">
        <v>440</v>
      </c>
    </row>
    <row r="62" customFormat="false" ht="57.45" hidden="false" customHeight="false" outlineLevel="0" collapsed="false">
      <c r="A62" s="8" t="s">
        <v>441</v>
      </c>
      <c r="B62" s="8" t="s">
        <v>46</v>
      </c>
      <c r="C62" s="15" t="s">
        <v>6</v>
      </c>
      <c r="D62" s="8" t="s">
        <v>420</v>
      </c>
      <c r="E62" s="8" t="s">
        <v>442</v>
      </c>
      <c r="F62" s="10" t="s">
        <v>9</v>
      </c>
      <c r="G62" s="8" t="s">
        <v>443</v>
      </c>
      <c r="H62" s="13" t="s">
        <v>15</v>
      </c>
      <c r="I62" s="8" t="s">
        <v>444</v>
      </c>
      <c r="J62" s="8" t="s">
        <v>445</v>
      </c>
      <c r="K62" s="8" t="s">
        <v>52</v>
      </c>
      <c r="L62" s="8" t="s">
        <v>446</v>
      </c>
      <c r="M62" s="8" t="s">
        <v>54</v>
      </c>
      <c r="N62" s="8" t="s">
        <v>22</v>
      </c>
      <c r="O62" s="8" t="s">
        <v>447</v>
      </c>
    </row>
    <row r="63" customFormat="false" ht="46.25" hidden="false" customHeight="false" outlineLevel="0" collapsed="false">
      <c r="A63" s="8" t="s">
        <v>448</v>
      </c>
      <c r="B63" s="8" t="s">
        <v>46</v>
      </c>
      <c r="C63" s="15" t="s">
        <v>6</v>
      </c>
      <c r="D63" s="8" t="s">
        <v>420</v>
      </c>
      <c r="E63" s="8" t="s">
        <v>449</v>
      </c>
      <c r="F63" s="12" t="s">
        <v>8</v>
      </c>
      <c r="G63" s="8" t="s">
        <v>450</v>
      </c>
      <c r="H63" s="12" t="s">
        <v>16</v>
      </c>
      <c r="I63" s="8" t="s">
        <v>451</v>
      </c>
      <c r="J63" s="8" t="s">
        <v>452</v>
      </c>
      <c r="K63" s="8" t="s">
        <v>52</v>
      </c>
      <c r="L63" s="8" t="s">
        <v>453</v>
      </c>
      <c r="M63" s="8" t="s">
        <v>350</v>
      </c>
      <c r="N63" s="8" t="s">
        <v>21</v>
      </c>
      <c r="O63" s="8" t="s">
        <v>454</v>
      </c>
    </row>
    <row r="64" customFormat="false" ht="57.45" hidden="false" customHeight="false" outlineLevel="0" collapsed="false">
      <c r="A64" s="8" t="s">
        <v>455</v>
      </c>
      <c r="B64" s="8" t="s">
        <v>46</v>
      </c>
      <c r="C64" s="15" t="s">
        <v>6</v>
      </c>
      <c r="D64" s="8" t="s">
        <v>420</v>
      </c>
      <c r="E64" s="8" t="s">
        <v>456</v>
      </c>
      <c r="F64" s="10" t="s">
        <v>9</v>
      </c>
      <c r="G64" s="8" t="s">
        <v>457</v>
      </c>
      <c r="H64" s="11" t="s">
        <v>14</v>
      </c>
      <c r="I64" s="8" t="s">
        <v>458</v>
      </c>
      <c r="J64" s="8" t="s">
        <v>459</v>
      </c>
      <c r="K64" s="8" t="s">
        <v>78</v>
      </c>
      <c r="L64" s="8" t="s">
        <v>460</v>
      </c>
      <c r="M64" s="8" t="s">
        <v>54</v>
      </c>
      <c r="N64" s="8" t="s">
        <v>22</v>
      </c>
      <c r="O64" s="8" t="s">
        <v>112</v>
      </c>
    </row>
    <row r="65" customFormat="false" ht="35.05" hidden="false" customHeight="false" outlineLevel="0" collapsed="false">
      <c r="A65" s="8" t="s">
        <v>461</v>
      </c>
      <c r="B65" s="8" t="s">
        <v>46</v>
      </c>
      <c r="C65" s="15" t="s">
        <v>6</v>
      </c>
      <c r="D65" s="8" t="s">
        <v>420</v>
      </c>
      <c r="E65" s="8" t="s">
        <v>462</v>
      </c>
      <c r="F65" s="19" t="s">
        <v>11</v>
      </c>
      <c r="G65" s="8" t="s">
        <v>463</v>
      </c>
      <c r="H65" s="12" t="s">
        <v>16</v>
      </c>
      <c r="I65" s="8" t="s">
        <v>464</v>
      </c>
      <c r="J65" s="8" t="s">
        <v>465</v>
      </c>
      <c r="K65" s="8" t="s">
        <v>52</v>
      </c>
      <c r="L65" s="8" t="s">
        <v>179</v>
      </c>
      <c r="M65" s="8" t="s">
        <v>180</v>
      </c>
      <c r="N65" s="8" t="s">
        <v>21</v>
      </c>
      <c r="O65" s="8" t="s">
        <v>112</v>
      </c>
    </row>
    <row r="66" customFormat="false" ht="23.85" hidden="false" customHeight="false" outlineLevel="0" collapsed="false">
      <c r="A66" s="8" t="s">
        <v>466</v>
      </c>
      <c r="B66" s="8" t="s">
        <v>46</v>
      </c>
      <c r="C66" s="16" t="s">
        <v>7</v>
      </c>
      <c r="D66" s="8" t="s">
        <v>420</v>
      </c>
      <c r="E66" s="8" t="s">
        <v>467</v>
      </c>
      <c r="F66" s="19" t="s">
        <v>11</v>
      </c>
      <c r="G66" s="8" t="s">
        <v>468</v>
      </c>
      <c r="H66" s="11" t="s">
        <v>14</v>
      </c>
      <c r="I66" s="8" t="s">
        <v>469</v>
      </c>
      <c r="J66" s="8" t="s">
        <v>173</v>
      </c>
      <c r="K66" s="8" t="s">
        <v>78</v>
      </c>
      <c r="L66" s="8" t="s">
        <v>179</v>
      </c>
      <c r="M66" s="8" t="s">
        <v>329</v>
      </c>
      <c r="N66" s="8" t="s">
        <v>21</v>
      </c>
      <c r="O66" s="8" t="s">
        <v>112</v>
      </c>
    </row>
    <row r="67" customFormat="false" ht="68.65" hidden="false" customHeight="false" outlineLevel="0" collapsed="false">
      <c r="A67" s="8" t="s">
        <v>470</v>
      </c>
      <c r="B67" s="8" t="s">
        <v>46</v>
      </c>
      <c r="C67" s="9" t="s">
        <v>4</v>
      </c>
      <c r="D67" s="8" t="s">
        <v>471</v>
      </c>
      <c r="E67" s="8" t="s">
        <v>472</v>
      </c>
      <c r="F67" s="10" t="s">
        <v>9</v>
      </c>
      <c r="G67" s="8" t="s">
        <v>473</v>
      </c>
      <c r="H67" s="11" t="s">
        <v>14</v>
      </c>
      <c r="I67" s="8" t="s">
        <v>474</v>
      </c>
      <c r="J67" s="8" t="s">
        <v>475</v>
      </c>
      <c r="K67" s="8" t="s">
        <v>52</v>
      </c>
      <c r="L67" s="8" t="s">
        <v>476</v>
      </c>
      <c r="M67" s="8" t="s">
        <v>54</v>
      </c>
      <c r="N67" s="8" t="s">
        <v>22</v>
      </c>
      <c r="O67" s="8" t="s">
        <v>477</v>
      </c>
    </row>
    <row r="68" customFormat="false" ht="68.65" hidden="false" customHeight="false" outlineLevel="0" collapsed="false">
      <c r="A68" s="8" t="s">
        <v>478</v>
      </c>
      <c r="B68" s="8" t="s">
        <v>46</v>
      </c>
      <c r="C68" s="14" t="s">
        <v>5</v>
      </c>
      <c r="D68" s="8" t="s">
        <v>471</v>
      </c>
      <c r="E68" s="8" t="s">
        <v>479</v>
      </c>
      <c r="F68" s="12" t="s">
        <v>8</v>
      </c>
      <c r="G68" s="8" t="s">
        <v>480</v>
      </c>
      <c r="H68" s="12" t="s">
        <v>16</v>
      </c>
      <c r="I68" s="8" t="s">
        <v>481</v>
      </c>
      <c r="J68" s="8" t="s">
        <v>482</v>
      </c>
      <c r="K68" s="8" t="s">
        <v>78</v>
      </c>
      <c r="L68" s="8" t="s">
        <v>483</v>
      </c>
      <c r="M68" s="8" t="s">
        <v>343</v>
      </c>
      <c r="N68" s="8" t="s">
        <v>21</v>
      </c>
      <c r="O68" s="8" t="s">
        <v>484</v>
      </c>
    </row>
    <row r="69" customFormat="false" ht="68.65" hidden="false" customHeight="false" outlineLevel="0" collapsed="false">
      <c r="A69" s="8" t="s">
        <v>485</v>
      </c>
      <c r="B69" s="8" t="s">
        <v>46</v>
      </c>
      <c r="C69" s="15" t="s">
        <v>6</v>
      </c>
      <c r="D69" s="8" t="s">
        <v>471</v>
      </c>
      <c r="E69" s="8" t="s">
        <v>486</v>
      </c>
      <c r="F69" s="12" t="s">
        <v>8</v>
      </c>
      <c r="G69" s="8" t="s">
        <v>487</v>
      </c>
      <c r="H69" s="13" t="s">
        <v>15</v>
      </c>
      <c r="I69" s="8" t="s">
        <v>488</v>
      </c>
      <c r="J69" s="8" t="s">
        <v>489</v>
      </c>
      <c r="K69" s="8" t="s">
        <v>52</v>
      </c>
      <c r="L69" s="8" t="s">
        <v>490</v>
      </c>
      <c r="M69" s="8" t="s">
        <v>63</v>
      </c>
      <c r="N69" s="8" t="s">
        <v>21</v>
      </c>
      <c r="O69" s="8" t="s">
        <v>491</v>
      </c>
    </row>
    <row r="70" customFormat="false" ht="23.85" hidden="false" customHeight="false" outlineLevel="0" collapsed="false">
      <c r="A70" s="8" t="s">
        <v>492</v>
      </c>
      <c r="B70" s="8" t="s">
        <v>46</v>
      </c>
      <c r="C70" s="15" t="s">
        <v>6</v>
      </c>
      <c r="D70" s="8" t="s">
        <v>471</v>
      </c>
      <c r="E70" s="8" t="s">
        <v>493</v>
      </c>
      <c r="F70" s="19" t="s">
        <v>11</v>
      </c>
      <c r="G70" s="8" t="s">
        <v>494</v>
      </c>
      <c r="H70" s="11" t="s">
        <v>14</v>
      </c>
      <c r="I70" s="8" t="s">
        <v>495</v>
      </c>
      <c r="J70" s="8" t="s">
        <v>173</v>
      </c>
      <c r="K70" s="8" t="s">
        <v>78</v>
      </c>
      <c r="L70" s="8" t="s">
        <v>179</v>
      </c>
      <c r="M70" s="8" t="s">
        <v>329</v>
      </c>
      <c r="N70" s="8" t="s">
        <v>21</v>
      </c>
      <c r="O70" s="8" t="s">
        <v>112</v>
      </c>
    </row>
    <row r="71" customFormat="false" ht="46.25" hidden="false" customHeight="false" outlineLevel="0" collapsed="false">
      <c r="A71" s="8" t="s">
        <v>496</v>
      </c>
      <c r="B71" s="8" t="s">
        <v>46</v>
      </c>
      <c r="C71" s="16" t="s">
        <v>7</v>
      </c>
      <c r="D71" s="8" t="s">
        <v>471</v>
      </c>
      <c r="E71" s="8" t="s">
        <v>497</v>
      </c>
      <c r="F71" s="19" t="s">
        <v>11</v>
      </c>
      <c r="G71" s="8" t="s">
        <v>498</v>
      </c>
      <c r="H71" s="11" t="s">
        <v>14</v>
      </c>
      <c r="I71" s="8" t="s">
        <v>499</v>
      </c>
      <c r="J71" s="8" t="s">
        <v>500</v>
      </c>
      <c r="K71" s="8" t="s">
        <v>52</v>
      </c>
      <c r="L71" s="8" t="s">
        <v>179</v>
      </c>
      <c r="M71" s="8" t="s">
        <v>329</v>
      </c>
      <c r="N71" s="8" t="s">
        <v>21</v>
      </c>
      <c r="O71" s="8" t="s">
        <v>112</v>
      </c>
    </row>
    <row r="72" customFormat="false" ht="35.05" hidden="false" customHeight="false" outlineLevel="0" collapsed="false">
      <c r="A72" s="8" t="s">
        <v>501</v>
      </c>
      <c r="B72" s="8" t="s">
        <v>46</v>
      </c>
      <c r="C72" s="16" t="s">
        <v>7</v>
      </c>
      <c r="D72" s="8" t="s">
        <v>471</v>
      </c>
      <c r="E72" s="8" t="s">
        <v>502</v>
      </c>
      <c r="F72" s="19" t="s">
        <v>11</v>
      </c>
      <c r="G72" s="8" t="s">
        <v>503</v>
      </c>
      <c r="H72" s="11" t="s">
        <v>14</v>
      </c>
      <c r="I72" s="8" t="s">
        <v>504</v>
      </c>
      <c r="J72" s="8" t="s">
        <v>173</v>
      </c>
      <c r="K72" s="8" t="s">
        <v>78</v>
      </c>
      <c r="L72" s="8" t="s">
        <v>179</v>
      </c>
      <c r="M72" s="8" t="s">
        <v>329</v>
      </c>
      <c r="N72" s="8" t="s">
        <v>21</v>
      </c>
      <c r="O72" s="8" t="s">
        <v>112</v>
      </c>
    </row>
    <row r="73" customFormat="false" ht="57.45" hidden="false" customHeight="false" outlineLevel="0" collapsed="false">
      <c r="A73" s="8" t="s">
        <v>505</v>
      </c>
      <c r="B73" s="8" t="s">
        <v>46</v>
      </c>
      <c r="C73" s="16" t="s">
        <v>7</v>
      </c>
      <c r="D73" s="8" t="s">
        <v>471</v>
      </c>
      <c r="E73" s="8" t="s">
        <v>506</v>
      </c>
      <c r="F73" s="12" t="s">
        <v>8</v>
      </c>
      <c r="G73" s="8" t="s">
        <v>507</v>
      </c>
      <c r="H73" s="11" t="s">
        <v>14</v>
      </c>
      <c r="I73" s="8" t="s">
        <v>508</v>
      </c>
      <c r="J73" s="8" t="s">
        <v>509</v>
      </c>
      <c r="K73" s="8" t="s">
        <v>52</v>
      </c>
      <c r="L73" s="8" t="s">
        <v>154</v>
      </c>
      <c r="M73" s="8" t="s">
        <v>63</v>
      </c>
      <c r="N73" s="8" t="s">
        <v>21</v>
      </c>
      <c r="O73" s="8" t="s">
        <v>510</v>
      </c>
    </row>
    <row r="74" customFormat="false" ht="46.25" hidden="false" customHeight="false" outlineLevel="0" collapsed="false">
      <c r="A74" s="8" t="s">
        <v>511</v>
      </c>
      <c r="B74" s="8" t="s">
        <v>46</v>
      </c>
      <c r="C74" s="9" t="s">
        <v>4</v>
      </c>
      <c r="D74" s="8" t="s">
        <v>512</v>
      </c>
      <c r="E74" s="8" t="s">
        <v>513</v>
      </c>
      <c r="F74" s="12" t="s">
        <v>8</v>
      </c>
      <c r="G74" s="8" t="s">
        <v>514</v>
      </c>
      <c r="H74" s="11" t="s">
        <v>14</v>
      </c>
      <c r="I74" s="8" t="s">
        <v>515</v>
      </c>
      <c r="J74" s="8" t="s">
        <v>516</v>
      </c>
      <c r="K74" s="8" t="s">
        <v>52</v>
      </c>
      <c r="L74" s="8" t="s">
        <v>154</v>
      </c>
      <c r="M74" s="8" t="s">
        <v>63</v>
      </c>
      <c r="N74" s="8" t="s">
        <v>21</v>
      </c>
      <c r="O74" s="8" t="s">
        <v>112</v>
      </c>
    </row>
    <row r="75" customFormat="false" ht="46.25" hidden="false" customHeight="false" outlineLevel="0" collapsed="false">
      <c r="A75" s="8" t="s">
        <v>517</v>
      </c>
      <c r="B75" s="8" t="s">
        <v>46</v>
      </c>
      <c r="C75" s="9" t="s">
        <v>4</v>
      </c>
      <c r="D75" s="8" t="s">
        <v>518</v>
      </c>
      <c r="E75" s="8" t="s">
        <v>519</v>
      </c>
      <c r="F75" s="12" t="s">
        <v>8</v>
      </c>
      <c r="G75" s="8" t="s">
        <v>520</v>
      </c>
      <c r="H75" s="13" t="s">
        <v>15</v>
      </c>
      <c r="I75" s="8" t="s">
        <v>521</v>
      </c>
      <c r="J75" s="8" t="s">
        <v>522</v>
      </c>
      <c r="K75" s="8" t="s">
        <v>78</v>
      </c>
      <c r="L75" s="8" t="s">
        <v>523</v>
      </c>
      <c r="M75" s="8" t="s">
        <v>63</v>
      </c>
      <c r="N75" s="8" t="s">
        <v>21</v>
      </c>
      <c r="O75" s="8" t="s">
        <v>112</v>
      </c>
    </row>
    <row r="76" customFormat="false" ht="68.65" hidden="false" customHeight="false" outlineLevel="0" collapsed="false">
      <c r="A76" s="8" t="s">
        <v>524</v>
      </c>
      <c r="B76" s="8" t="s">
        <v>46</v>
      </c>
      <c r="C76" s="14" t="s">
        <v>5</v>
      </c>
      <c r="D76" s="8" t="s">
        <v>512</v>
      </c>
      <c r="E76" s="8" t="s">
        <v>525</v>
      </c>
      <c r="F76" s="12" t="s">
        <v>8</v>
      </c>
      <c r="G76" s="8" t="s">
        <v>526</v>
      </c>
      <c r="H76" s="13" t="s">
        <v>15</v>
      </c>
      <c r="I76" s="8" t="s">
        <v>527</v>
      </c>
      <c r="J76" s="8" t="s">
        <v>528</v>
      </c>
      <c r="K76" s="8" t="s">
        <v>52</v>
      </c>
      <c r="L76" s="8" t="s">
        <v>529</v>
      </c>
      <c r="M76" s="8" t="s">
        <v>63</v>
      </c>
      <c r="N76" s="8" t="s">
        <v>21</v>
      </c>
      <c r="O76" s="8" t="s">
        <v>112</v>
      </c>
    </row>
    <row r="77" customFormat="false" ht="57.45" hidden="false" customHeight="false" outlineLevel="0" collapsed="false">
      <c r="A77" s="8" t="s">
        <v>530</v>
      </c>
      <c r="B77" s="8" t="s">
        <v>46</v>
      </c>
      <c r="C77" s="14" t="s">
        <v>5</v>
      </c>
      <c r="D77" s="8" t="s">
        <v>512</v>
      </c>
      <c r="E77" s="8" t="s">
        <v>531</v>
      </c>
      <c r="F77" s="10" t="s">
        <v>9</v>
      </c>
      <c r="G77" s="8" t="s">
        <v>532</v>
      </c>
      <c r="H77" s="8" t="s">
        <v>17</v>
      </c>
      <c r="I77" s="8" t="s">
        <v>533</v>
      </c>
      <c r="J77" s="8" t="s">
        <v>534</v>
      </c>
      <c r="K77" s="8" t="s">
        <v>78</v>
      </c>
      <c r="L77" s="8" t="s">
        <v>535</v>
      </c>
      <c r="M77" s="8" t="s">
        <v>399</v>
      </c>
      <c r="N77" s="8" t="s">
        <v>22</v>
      </c>
      <c r="O77" s="8" t="s">
        <v>536</v>
      </c>
    </row>
    <row r="78" customFormat="false" ht="57.45" hidden="false" customHeight="false" outlineLevel="0" collapsed="false">
      <c r="A78" s="8" t="s">
        <v>537</v>
      </c>
      <c r="B78" s="8" t="s">
        <v>46</v>
      </c>
      <c r="C78" s="14" t="s">
        <v>5</v>
      </c>
      <c r="D78" s="8" t="s">
        <v>512</v>
      </c>
      <c r="E78" s="8" t="s">
        <v>538</v>
      </c>
      <c r="F78" s="12" t="s">
        <v>8</v>
      </c>
      <c r="G78" s="8" t="s">
        <v>539</v>
      </c>
      <c r="H78" s="11" t="s">
        <v>14</v>
      </c>
      <c r="I78" s="8" t="s">
        <v>540</v>
      </c>
      <c r="J78" s="8" t="s">
        <v>541</v>
      </c>
      <c r="K78" s="8" t="s">
        <v>78</v>
      </c>
      <c r="L78" s="8" t="s">
        <v>542</v>
      </c>
      <c r="M78" s="8" t="s">
        <v>63</v>
      </c>
      <c r="N78" s="8" t="s">
        <v>21</v>
      </c>
      <c r="O78" s="8" t="s">
        <v>543</v>
      </c>
    </row>
    <row r="79" customFormat="false" ht="68.65" hidden="false" customHeight="false" outlineLevel="0" collapsed="false">
      <c r="A79" s="8" t="s">
        <v>544</v>
      </c>
      <c r="B79" s="8" t="s">
        <v>46</v>
      </c>
      <c r="C79" s="14" t="s">
        <v>5</v>
      </c>
      <c r="D79" s="8" t="s">
        <v>518</v>
      </c>
      <c r="E79" s="8" t="s">
        <v>545</v>
      </c>
      <c r="F79" s="12" t="s">
        <v>8</v>
      </c>
      <c r="G79" s="8" t="s">
        <v>546</v>
      </c>
      <c r="H79" s="13" t="s">
        <v>15</v>
      </c>
      <c r="I79" s="8" t="s">
        <v>547</v>
      </c>
      <c r="J79" s="8" t="s">
        <v>548</v>
      </c>
      <c r="K79" s="8" t="s">
        <v>78</v>
      </c>
      <c r="L79" s="8" t="s">
        <v>549</v>
      </c>
      <c r="M79" s="8" t="s">
        <v>63</v>
      </c>
      <c r="N79" s="8" t="s">
        <v>21</v>
      </c>
      <c r="O79" s="8" t="s">
        <v>550</v>
      </c>
    </row>
    <row r="80" customFormat="false" ht="68.65" hidden="false" customHeight="false" outlineLevel="0" collapsed="false">
      <c r="A80" s="8" t="s">
        <v>551</v>
      </c>
      <c r="B80" s="8" t="s">
        <v>46</v>
      </c>
      <c r="C80" s="14" t="s">
        <v>5</v>
      </c>
      <c r="D80" s="8" t="s">
        <v>552</v>
      </c>
      <c r="E80" s="8" t="s">
        <v>553</v>
      </c>
      <c r="F80" s="12" t="s">
        <v>8</v>
      </c>
      <c r="G80" s="8" t="s">
        <v>554</v>
      </c>
      <c r="H80" s="13" t="s">
        <v>15</v>
      </c>
      <c r="I80" s="8" t="s">
        <v>555</v>
      </c>
      <c r="J80" s="8" t="s">
        <v>556</v>
      </c>
      <c r="K80" s="8" t="s">
        <v>78</v>
      </c>
      <c r="L80" s="8" t="s">
        <v>557</v>
      </c>
      <c r="M80" s="8" t="s">
        <v>63</v>
      </c>
      <c r="N80" s="8" t="s">
        <v>21</v>
      </c>
      <c r="O80" s="8" t="s">
        <v>558</v>
      </c>
    </row>
    <row r="81" customFormat="false" ht="57.45" hidden="false" customHeight="false" outlineLevel="0" collapsed="false">
      <c r="A81" s="8" t="s">
        <v>559</v>
      </c>
      <c r="B81" s="8" t="s">
        <v>46</v>
      </c>
      <c r="C81" s="15" t="s">
        <v>6</v>
      </c>
      <c r="D81" s="8" t="s">
        <v>560</v>
      </c>
      <c r="E81" s="8" t="s">
        <v>561</v>
      </c>
      <c r="F81" s="12" t="s">
        <v>8</v>
      </c>
      <c r="G81" s="8" t="s">
        <v>562</v>
      </c>
      <c r="H81" s="13" t="s">
        <v>15</v>
      </c>
      <c r="I81" s="8" t="s">
        <v>563</v>
      </c>
      <c r="J81" s="8" t="s">
        <v>564</v>
      </c>
      <c r="K81" s="8" t="s">
        <v>78</v>
      </c>
      <c r="L81" s="8" t="s">
        <v>154</v>
      </c>
      <c r="M81" s="8" t="s">
        <v>63</v>
      </c>
      <c r="N81" s="8" t="s">
        <v>21</v>
      </c>
      <c r="O81" s="8" t="s">
        <v>112</v>
      </c>
    </row>
    <row r="82" customFormat="false" ht="68.65" hidden="false" customHeight="false" outlineLevel="0" collapsed="false">
      <c r="A82" s="8" t="s">
        <v>565</v>
      </c>
      <c r="B82" s="8" t="s">
        <v>46</v>
      </c>
      <c r="C82" s="15" t="s">
        <v>6</v>
      </c>
      <c r="D82" s="8" t="s">
        <v>566</v>
      </c>
      <c r="E82" s="8" t="s">
        <v>567</v>
      </c>
      <c r="F82" s="12" t="s">
        <v>8</v>
      </c>
      <c r="G82" s="8" t="s">
        <v>568</v>
      </c>
      <c r="H82" s="13" t="s">
        <v>15</v>
      </c>
      <c r="I82" s="8" t="s">
        <v>569</v>
      </c>
      <c r="J82" s="8" t="s">
        <v>570</v>
      </c>
      <c r="K82" s="8" t="s">
        <v>78</v>
      </c>
      <c r="L82" s="8" t="s">
        <v>571</v>
      </c>
      <c r="M82" s="8" t="s">
        <v>288</v>
      </c>
      <c r="N82" s="8" t="s">
        <v>21</v>
      </c>
      <c r="O82" s="8" t="s">
        <v>572</v>
      </c>
    </row>
    <row r="83" customFormat="false" ht="68.65" hidden="false" customHeight="false" outlineLevel="0" collapsed="false">
      <c r="A83" s="8" t="s">
        <v>573</v>
      </c>
      <c r="B83" s="8" t="s">
        <v>46</v>
      </c>
      <c r="C83" s="9" t="s">
        <v>4</v>
      </c>
      <c r="D83" s="8" t="s">
        <v>574</v>
      </c>
      <c r="E83" s="8" t="s">
        <v>575</v>
      </c>
      <c r="F83" s="12" t="s">
        <v>8</v>
      </c>
      <c r="G83" s="8" t="s">
        <v>576</v>
      </c>
      <c r="H83" s="11" t="s">
        <v>14</v>
      </c>
      <c r="I83" s="8" t="s">
        <v>577</v>
      </c>
      <c r="J83" s="8" t="s">
        <v>578</v>
      </c>
      <c r="K83" s="8" t="s">
        <v>52</v>
      </c>
      <c r="L83" s="8" t="s">
        <v>579</v>
      </c>
      <c r="M83" s="8" t="s">
        <v>288</v>
      </c>
      <c r="N83" s="8" t="s">
        <v>21</v>
      </c>
      <c r="O83" s="8" t="s">
        <v>580</v>
      </c>
    </row>
    <row r="84" customFormat="false" ht="68.65" hidden="false" customHeight="false" outlineLevel="0" collapsed="false">
      <c r="A84" s="8" t="s">
        <v>581</v>
      </c>
      <c r="B84" s="8" t="s">
        <v>574</v>
      </c>
      <c r="C84" s="9" t="s">
        <v>4</v>
      </c>
      <c r="D84" s="8" t="s">
        <v>574</v>
      </c>
      <c r="E84" s="8" t="s">
        <v>582</v>
      </c>
      <c r="F84" s="10" t="s">
        <v>9</v>
      </c>
      <c r="G84" s="8" t="s">
        <v>583</v>
      </c>
      <c r="H84" s="13" t="s">
        <v>15</v>
      </c>
      <c r="I84" s="8" t="s">
        <v>584</v>
      </c>
      <c r="J84" s="8" t="s">
        <v>585</v>
      </c>
      <c r="K84" s="8" t="s">
        <v>52</v>
      </c>
      <c r="L84" s="8" t="s">
        <v>586</v>
      </c>
      <c r="M84" s="8" t="s">
        <v>273</v>
      </c>
      <c r="N84" s="8" t="s">
        <v>22</v>
      </c>
      <c r="O84" s="8" t="s">
        <v>587</v>
      </c>
    </row>
    <row r="85" customFormat="false" ht="68.65" hidden="false" customHeight="false" outlineLevel="0" collapsed="false">
      <c r="A85" s="8" t="s">
        <v>588</v>
      </c>
      <c r="B85" s="8" t="s">
        <v>46</v>
      </c>
      <c r="C85" s="14" t="s">
        <v>5</v>
      </c>
      <c r="D85" s="8" t="s">
        <v>574</v>
      </c>
      <c r="E85" s="8" t="s">
        <v>589</v>
      </c>
      <c r="F85" s="10" t="s">
        <v>9</v>
      </c>
      <c r="G85" s="8" t="s">
        <v>590</v>
      </c>
      <c r="H85" s="13" t="s">
        <v>15</v>
      </c>
      <c r="I85" s="8" t="s">
        <v>591</v>
      </c>
      <c r="J85" s="8" t="s">
        <v>173</v>
      </c>
      <c r="K85" s="8" t="s">
        <v>78</v>
      </c>
      <c r="L85" s="8" t="s">
        <v>592</v>
      </c>
      <c r="M85" s="8" t="s">
        <v>273</v>
      </c>
      <c r="N85" s="8" t="s">
        <v>22</v>
      </c>
      <c r="O85" s="8" t="s">
        <v>593</v>
      </c>
    </row>
    <row r="86" customFormat="false" ht="57.45" hidden="false" customHeight="false" outlineLevel="0" collapsed="false">
      <c r="A86" s="8" t="s">
        <v>594</v>
      </c>
      <c r="B86" s="8" t="s">
        <v>46</v>
      </c>
      <c r="C86" s="14" t="s">
        <v>5</v>
      </c>
      <c r="D86" s="8" t="s">
        <v>574</v>
      </c>
      <c r="E86" s="8" t="s">
        <v>595</v>
      </c>
      <c r="F86" s="10" t="s">
        <v>9</v>
      </c>
      <c r="G86" s="8" t="s">
        <v>596</v>
      </c>
      <c r="H86" s="13" t="s">
        <v>15</v>
      </c>
      <c r="I86" s="8" t="s">
        <v>597</v>
      </c>
      <c r="J86" s="8" t="s">
        <v>173</v>
      </c>
      <c r="K86" s="8" t="s">
        <v>78</v>
      </c>
      <c r="L86" s="8" t="s">
        <v>598</v>
      </c>
      <c r="M86" s="8" t="s">
        <v>273</v>
      </c>
      <c r="N86" s="8" t="s">
        <v>22</v>
      </c>
      <c r="O86" s="8" t="s">
        <v>599</v>
      </c>
    </row>
    <row r="87" customFormat="false" ht="57.45" hidden="false" customHeight="false" outlineLevel="0" collapsed="false">
      <c r="A87" s="8" t="s">
        <v>600</v>
      </c>
      <c r="B87" s="8" t="s">
        <v>46</v>
      </c>
      <c r="C87" s="14" t="s">
        <v>5</v>
      </c>
      <c r="D87" s="8" t="s">
        <v>574</v>
      </c>
      <c r="E87" s="8" t="s">
        <v>601</v>
      </c>
      <c r="F87" s="10" t="s">
        <v>9</v>
      </c>
      <c r="G87" s="8" t="s">
        <v>602</v>
      </c>
      <c r="H87" s="11" t="s">
        <v>14</v>
      </c>
      <c r="I87" s="8" t="s">
        <v>603</v>
      </c>
      <c r="J87" s="8" t="s">
        <v>604</v>
      </c>
      <c r="K87" s="8" t="s">
        <v>52</v>
      </c>
      <c r="L87" s="8" t="s">
        <v>605</v>
      </c>
      <c r="M87" s="8" t="s">
        <v>54</v>
      </c>
      <c r="N87" s="8" t="s">
        <v>22</v>
      </c>
      <c r="O87" s="8" t="s">
        <v>606</v>
      </c>
    </row>
    <row r="88" customFormat="false" ht="57.45" hidden="false" customHeight="false" outlineLevel="0" collapsed="false">
      <c r="A88" s="8" t="s">
        <v>607</v>
      </c>
      <c r="B88" s="8" t="s">
        <v>46</v>
      </c>
      <c r="C88" s="15" t="s">
        <v>6</v>
      </c>
      <c r="D88" s="8" t="s">
        <v>574</v>
      </c>
      <c r="E88" s="8" t="s">
        <v>608</v>
      </c>
      <c r="F88" s="12" t="s">
        <v>8</v>
      </c>
      <c r="G88" s="8" t="s">
        <v>609</v>
      </c>
      <c r="H88" s="13" t="s">
        <v>15</v>
      </c>
      <c r="I88" s="8" t="s">
        <v>610</v>
      </c>
      <c r="J88" s="8" t="s">
        <v>173</v>
      </c>
      <c r="K88" s="8" t="s">
        <v>78</v>
      </c>
      <c r="L88" s="8" t="s">
        <v>611</v>
      </c>
      <c r="M88" s="8" t="s">
        <v>288</v>
      </c>
      <c r="N88" s="8" t="s">
        <v>21</v>
      </c>
      <c r="O88" s="8" t="s">
        <v>112</v>
      </c>
    </row>
    <row r="89" customFormat="false" ht="57.45" hidden="false" customHeight="false" outlineLevel="0" collapsed="false">
      <c r="A89" s="8" t="s">
        <v>612</v>
      </c>
      <c r="B89" s="8" t="s">
        <v>46</v>
      </c>
      <c r="C89" s="15" t="s">
        <v>6</v>
      </c>
      <c r="D89" s="8" t="s">
        <v>574</v>
      </c>
      <c r="E89" s="8" t="s">
        <v>613</v>
      </c>
      <c r="F89" s="10" t="s">
        <v>9</v>
      </c>
      <c r="G89" s="8" t="s">
        <v>614</v>
      </c>
      <c r="H89" s="13" t="s">
        <v>15</v>
      </c>
      <c r="I89" s="8" t="s">
        <v>615</v>
      </c>
      <c r="J89" s="8" t="s">
        <v>173</v>
      </c>
      <c r="K89" s="8" t="s">
        <v>78</v>
      </c>
      <c r="L89" s="8" t="s">
        <v>616</v>
      </c>
      <c r="M89" s="8" t="s">
        <v>273</v>
      </c>
      <c r="N89" s="8" t="s">
        <v>22</v>
      </c>
      <c r="O89" s="8" t="s">
        <v>617</v>
      </c>
    </row>
    <row r="90" customFormat="false" ht="68.65" hidden="false" customHeight="false" outlineLevel="0" collapsed="false">
      <c r="A90" s="8" t="s">
        <v>618</v>
      </c>
      <c r="B90" s="8" t="s">
        <v>46</v>
      </c>
      <c r="C90" s="15" t="s">
        <v>6</v>
      </c>
      <c r="D90" s="8" t="s">
        <v>574</v>
      </c>
      <c r="E90" s="8" t="s">
        <v>619</v>
      </c>
      <c r="F90" s="10" t="s">
        <v>9</v>
      </c>
      <c r="G90" s="8" t="s">
        <v>620</v>
      </c>
      <c r="H90" s="8" t="s">
        <v>17</v>
      </c>
      <c r="I90" s="8" t="s">
        <v>621</v>
      </c>
      <c r="J90" s="8" t="s">
        <v>173</v>
      </c>
      <c r="K90" s="8" t="s">
        <v>78</v>
      </c>
      <c r="L90" s="8" t="s">
        <v>622</v>
      </c>
      <c r="M90" s="8" t="s">
        <v>42</v>
      </c>
      <c r="N90" s="8" t="s">
        <v>22</v>
      </c>
      <c r="O90" s="8" t="s">
        <v>623</v>
      </c>
    </row>
    <row r="91" customFormat="false" ht="46.25" hidden="false" customHeight="false" outlineLevel="0" collapsed="false">
      <c r="A91" s="8" t="s">
        <v>624</v>
      </c>
      <c r="B91" s="8" t="s">
        <v>46</v>
      </c>
      <c r="C91" s="16" t="s">
        <v>7</v>
      </c>
      <c r="D91" s="8" t="s">
        <v>574</v>
      </c>
      <c r="E91" s="8" t="s">
        <v>625</v>
      </c>
      <c r="F91" s="19" t="s">
        <v>11</v>
      </c>
      <c r="G91" s="8" t="s">
        <v>626</v>
      </c>
      <c r="H91" s="12" t="s">
        <v>16</v>
      </c>
      <c r="I91" s="8" t="s">
        <v>627</v>
      </c>
      <c r="J91" s="8" t="s">
        <v>173</v>
      </c>
      <c r="K91" s="8" t="s">
        <v>78</v>
      </c>
      <c r="L91" s="8" t="s">
        <v>628</v>
      </c>
      <c r="M91" s="8" t="s">
        <v>180</v>
      </c>
      <c r="N91" s="8" t="s">
        <v>23</v>
      </c>
      <c r="O91" s="8" t="s">
        <v>112</v>
      </c>
    </row>
    <row r="92" customFormat="false" ht="57.45" hidden="false" customHeight="false" outlineLevel="0" collapsed="false">
      <c r="A92" s="8" t="s">
        <v>629</v>
      </c>
      <c r="B92" s="8" t="s">
        <v>46</v>
      </c>
      <c r="C92" s="16" t="s">
        <v>7</v>
      </c>
      <c r="D92" s="8" t="s">
        <v>574</v>
      </c>
      <c r="E92" s="8" t="s">
        <v>630</v>
      </c>
      <c r="F92" s="20" t="s">
        <v>10</v>
      </c>
      <c r="G92" s="8" t="s">
        <v>631</v>
      </c>
      <c r="H92" s="13" t="s">
        <v>15</v>
      </c>
      <c r="I92" s="8" t="s">
        <v>632</v>
      </c>
      <c r="J92" s="8" t="s">
        <v>633</v>
      </c>
      <c r="K92" s="8" t="s">
        <v>52</v>
      </c>
      <c r="L92" s="8" t="s">
        <v>634</v>
      </c>
      <c r="M92" s="8" t="s">
        <v>54</v>
      </c>
      <c r="N92" s="8" t="s">
        <v>23</v>
      </c>
      <c r="O92" s="8" t="s">
        <v>635</v>
      </c>
    </row>
    <row r="93" customFormat="false" ht="46.25" hidden="false" customHeight="false" outlineLevel="0" collapsed="false">
      <c r="A93" s="8" t="s">
        <v>636</v>
      </c>
      <c r="B93" s="8" t="s">
        <v>46</v>
      </c>
      <c r="C93" s="16" t="s">
        <v>7</v>
      </c>
      <c r="D93" s="8" t="s">
        <v>574</v>
      </c>
      <c r="E93" s="8" t="s">
        <v>637</v>
      </c>
      <c r="F93" s="19" t="s">
        <v>11</v>
      </c>
      <c r="G93" s="8" t="s">
        <v>638</v>
      </c>
      <c r="H93" s="12" t="s">
        <v>16</v>
      </c>
      <c r="I93" s="8" t="s">
        <v>639</v>
      </c>
      <c r="J93" s="8" t="s">
        <v>173</v>
      </c>
      <c r="K93" s="8" t="s">
        <v>78</v>
      </c>
      <c r="L93" s="8" t="s">
        <v>179</v>
      </c>
      <c r="M93" s="8" t="s">
        <v>180</v>
      </c>
      <c r="N93" s="8" t="s">
        <v>23</v>
      </c>
      <c r="O93" s="8" t="s">
        <v>112</v>
      </c>
    </row>
    <row r="94" customFormat="false" ht="68.65" hidden="false" customHeight="false" outlineLevel="0" collapsed="false">
      <c r="A94" s="8" t="s">
        <v>640</v>
      </c>
      <c r="B94" s="8" t="s">
        <v>46</v>
      </c>
      <c r="C94" s="14" t="s">
        <v>5</v>
      </c>
      <c r="D94" s="8" t="s">
        <v>574</v>
      </c>
      <c r="E94" s="8" t="s">
        <v>641</v>
      </c>
      <c r="F94" s="12" t="s">
        <v>8</v>
      </c>
      <c r="G94" s="8" t="s">
        <v>642</v>
      </c>
      <c r="H94" s="8" t="s">
        <v>12</v>
      </c>
      <c r="I94" s="8" t="s">
        <v>643</v>
      </c>
      <c r="J94" s="8" t="s">
        <v>644</v>
      </c>
      <c r="K94" s="8" t="s">
        <v>78</v>
      </c>
      <c r="L94" s="8" t="s">
        <v>645</v>
      </c>
      <c r="M94" s="8" t="s">
        <v>343</v>
      </c>
      <c r="N94" s="8" t="s">
        <v>21</v>
      </c>
      <c r="O94" s="8" t="s">
        <v>646</v>
      </c>
    </row>
    <row r="95" customFormat="false" ht="68.65" hidden="false" customHeight="false" outlineLevel="0" collapsed="false">
      <c r="A95" s="8" t="s">
        <v>647</v>
      </c>
      <c r="B95" s="8" t="s">
        <v>46</v>
      </c>
      <c r="C95" s="14" t="s">
        <v>5</v>
      </c>
      <c r="D95" s="8" t="s">
        <v>574</v>
      </c>
      <c r="E95" s="8" t="s">
        <v>648</v>
      </c>
      <c r="F95" s="10" t="s">
        <v>9</v>
      </c>
      <c r="G95" s="8" t="s">
        <v>649</v>
      </c>
      <c r="H95" s="13" t="s">
        <v>15</v>
      </c>
      <c r="I95" s="8" t="s">
        <v>650</v>
      </c>
      <c r="J95" s="8" t="s">
        <v>651</v>
      </c>
      <c r="K95" s="8" t="s">
        <v>52</v>
      </c>
      <c r="L95" s="8" t="s">
        <v>652</v>
      </c>
      <c r="M95" s="8" t="s">
        <v>273</v>
      </c>
      <c r="N95" s="8" t="s">
        <v>22</v>
      </c>
      <c r="O95" s="8" t="s">
        <v>112</v>
      </c>
    </row>
    <row r="96" customFormat="false" ht="57.45" hidden="false" customHeight="false" outlineLevel="0" collapsed="false">
      <c r="A96" s="8" t="s">
        <v>653</v>
      </c>
      <c r="B96" s="8" t="s">
        <v>46</v>
      </c>
      <c r="C96" s="14" t="s">
        <v>5</v>
      </c>
      <c r="D96" s="8" t="s">
        <v>574</v>
      </c>
      <c r="E96" s="8" t="s">
        <v>654</v>
      </c>
      <c r="F96" s="10" t="s">
        <v>9</v>
      </c>
      <c r="G96" s="8" t="s">
        <v>655</v>
      </c>
      <c r="H96" s="13" t="s">
        <v>15</v>
      </c>
      <c r="I96" s="8" t="s">
        <v>656</v>
      </c>
      <c r="J96" s="8" t="s">
        <v>657</v>
      </c>
      <c r="K96" s="8" t="s">
        <v>52</v>
      </c>
      <c r="L96" s="8" t="s">
        <v>658</v>
      </c>
      <c r="M96" s="8" t="s">
        <v>273</v>
      </c>
      <c r="N96" s="8" t="s">
        <v>22</v>
      </c>
      <c r="O96" s="8" t="s">
        <v>112</v>
      </c>
    </row>
    <row r="97" customFormat="false" ht="68.65" hidden="false" customHeight="false" outlineLevel="0" collapsed="false">
      <c r="A97" s="8" t="s">
        <v>659</v>
      </c>
      <c r="B97" s="8" t="s">
        <v>46</v>
      </c>
      <c r="C97" s="15" t="s">
        <v>6</v>
      </c>
      <c r="D97" s="8" t="s">
        <v>574</v>
      </c>
      <c r="E97" s="8" t="s">
        <v>660</v>
      </c>
      <c r="F97" s="10" t="s">
        <v>9</v>
      </c>
      <c r="G97" s="8" t="s">
        <v>661</v>
      </c>
      <c r="H97" s="13" t="s">
        <v>15</v>
      </c>
      <c r="I97" s="8" t="s">
        <v>662</v>
      </c>
      <c r="J97" s="8" t="s">
        <v>173</v>
      </c>
      <c r="K97" s="8" t="s">
        <v>78</v>
      </c>
      <c r="L97" s="8" t="s">
        <v>663</v>
      </c>
      <c r="M97" s="8" t="s">
        <v>273</v>
      </c>
      <c r="N97" s="8" t="s">
        <v>22</v>
      </c>
      <c r="O97" s="8" t="s">
        <v>664</v>
      </c>
    </row>
    <row r="98" customFormat="false" ht="57.45" hidden="false" customHeight="false" outlineLevel="0" collapsed="false">
      <c r="A98" s="8" t="s">
        <v>665</v>
      </c>
      <c r="B98" s="8" t="s">
        <v>46</v>
      </c>
      <c r="C98" s="15" t="s">
        <v>6</v>
      </c>
      <c r="D98" s="8" t="s">
        <v>574</v>
      </c>
      <c r="E98" s="8" t="s">
        <v>666</v>
      </c>
      <c r="F98" s="10" t="s">
        <v>9</v>
      </c>
      <c r="G98" s="8" t="s">
        <v>667</v>
      </c>
      <c r="H98" s="13" t="s">
        <v>15</v>
      </c>
      <c r="I98" s="8" t="s">
        <v>668</v>
      </c>
      <c r="J98" s="8" t="s">
        <v>669</v>
      </c>
      <c r="K98" s="8" t="s">
        <v>52</v>
      </c>
      <c r="L98" s="8" t="s">
        <v>670</v>
      </c>
      <c r="M98" s="8" t="s">
        <v>54</v>
      </c>
      <c r="N98" s="8" t="s">
        <v>22</v>
      </c>
      <c r="O98" s="8" t="s">
        <v>112</v>
      </c>
    </row>
    <row r="99" customFormat="false" ht="57.45" hidden="false" customHeight="false" outlineLevel="0" collapsed="false">
      <c r="A99" s="8" t="s">
        <v>671</v>
      </c>
      <c r="B99" s="8" t="s">
        <v>46</v>
      </c>
      <c r="C99" s="16" t="s">
        <v>7</v>
      </c>
      <c r="D99" s="8" t="s">
        <v>574</v>
      </c>
      <c r="E99" s="8" t="s">
        <v>672</v>
      </c>
      <c r="F99" s="10" t="s">
        <v>9</v>
      </c>
      <c r="G99" s="8" t="s">
        <v>673</v>
      </c>
      <c r="H99" s="11" t="s">
        <v>14</v>
      </c>
      <c r="I99" s="8" t="s">
        <v>674</v>
      </c>
      <c r="J99" s="8" t="s">
        <v>173</v>
      </c>
      <c r="K99" s="8" t="s">
        <v>78</v>
      </c>
      <c r="L99" s="8" t="s">
        <v>675</v>
      </c>
      <c r="M99" s="8" t="s">
        <v>273</v>
      </c>
      <c r="N99" s="18" t="s">
        <v>25</v>
      </c>
      <c r="O99" s="8" t="s">
        <v>676</v>
      </c>
    </row>
    <row r="100" customFormat="false" ht="79.85" hidden="false" customHeight="false" outlineLevel="0" collapsed="false">
      <c r="A100" s="8" t="s">
        <v>677</v>
      </c>
      <c r="B100" s="8" t="s">
        <v>678</v>
      </c>
      <c r="C100" s="14" t="s">
        <v>5</v>
      </c>
      <c r="D100" s="8" t="s">
        <v>679</v>
      </c>
      <c r="E100" s="8" t="s">
        <v>680</v>
      </c>
      <c r="F100" s="10" t="s">
        <v>9</v>
      </c>
      <c r="G100" s="8" t="s">
        <v>681</v>
      </c>
      <c r="H100" s="8" t="s">
        <v>17</v>
      </c>
      <c r="I100" s="8" t="s">
        <v>682</v>
      </c>
      <c r="J100" s="8" t="s">
        <v>683</v>
      </c>
      <c r="K100" s="8" t="s">
        <v>78</v>
      </c>
      <c r="L100" s="8" t="s">
        <v>684</v>
      </c>
      <c r="M100" s="8" t="s">
        <v>42</v>
      </c>
      <c r="N100" s="10" t="s">
        <v>20</v>
      </c>
      <c r="O100" s="8" t="s">
        <v>685</v>
      </c>
    </row>
    <row r="101" customFormat="false" ht="68.65" hidden="false" customHeight="false" outlineLevel="0" collapsed="false">
      <c r="A101" s="8" t="s">
        <v>686</v>
      </c>
      <c r="B101" s="8" t="s">
        <v>678</v>
      </c>
      <c r="C101" s="14" t="s">
        <v>5</v>
      </c>
      <c r="D101" s="8" t="s">
        <v>679</v>
      </c>
      <c r="E101" s="8" t="s">
        <v>687</v>
      </c>
      <c r="F101" s="20" t="s">
        <v>10</v>
      </c>
      <c r="G101" s="8" t="s">
        <v>688</v>
      </c>
      <c r="H101" s="8" t="s">
        <v>17</v>
      </c>
      <c r="I101" s="8" t="s">
        <v>682</v>
      </c>
      <c r="J101" s="8" t="s">
        <v>689</v>
      </c>
      <c r="K101" s="8" t="s">
        <v>78</v>
      </c>
      <c r="L101" s="8" t="s">
        <v>690</v>
      </c>
      <c r="M101" s="8" t="s">
        <v>399</v>
      </c>
      <c r="N101" s="8" t="s">
        <v>23</v>
      </c>
      <c r="O101" s="8" t="s">
        <v>691</v>
      </c>
    </row>
    <row r="102" customFormat="false" ht="57.45" hidden="false" customHeight="false" outlineLevel="0" collapsed="false">
      <c r="A102" s="8" t="s">
        <v>692</v>
      </c>
      <c r="B102" s="8" t="s">
        <v>678</v>
      </c>
      <c r="C102" s="15" t="s">
        <v>6</v>
      </c>
      <c r="D102" s="8" t="s">
        <v>679</v>
      </c>
      <c r="E102" s="8" t="s">
        <v>693</v>
      </c>
      <c r="F102" s="12" t="s">
        <v>8</v>
      </c>
      <c r="G102" s="8" t="s">
        <v>694</v>
      </c>
      <c r="H102" s="8" t="s">
        <v>17</v>
      </c>
      <c r="I102" s="8" t="s">
        <v>682</v>
      </c>
      <c r="J102" s="8" t="s">
        <v>173</v>
      </c>
      <c r="K102" s="8" t="s">
        <v>78</v>
      </c>
      <c r="L102" s="8" t="s">
        <v>695</v>
      </c>
      <c r="M102" s="8" t="s">
        <v>343</v>
      </c>
      <c r="N102" s="8" t="s">
        <v>21</v>
      </c>
      <c r="O102" s="8" t="s">
        <v>696</v>
      </c>
    </row>
    <row r="103" customFormat="false" ht="57.45" hidden="false" customHeight="false" outlineLevel="0" collapsed="false">
      <c r="A103" s="8" t="s">
        <v>697</v>
      </c>
      <c r="B103" s="8" t="s">
        <v>678</v>
      </c>
      <c r="C103" s="15" t="s">
        <v>6</v>
      </c>
      <c r="D103" s="8" t="s">
        <v>679</v>
      </c>
      <c r="E103" s="8" t="s">
        <v>698</v>
      </c>
      <c r="F103" s="10" t="s">
        <v>9</v>
      </c>
      <c r="G103" s="8" t="s">
        <v>699</v>
      </c>
      <c r="H103" s="8" t="s">
        <v>17</v>
      </c>
      <c r="I103" s="8" t="s">
        <v>682</v>
      </c>
      <c r="J103" s="8" t="s">
        <v>173</v>
      </c>
      <c r="K103" s="8" t="s">
        <v>78</v>
      </c>
      <c r="L103" s="8" t="s">
        <v>700</v>
      </c>
      <c r="M103" s="8" t="s">
        <v>42</v>
      </c>
      <c r="N103" s="8" t="s">
        <v>22</v>
      </c>
      <c r="O103" s="8" t="s">
        <v>701</v>
      </c>
    </row>
    <row r="104" customFormat="false" ht="57.45" hidden="false" customHeight="false" outlineLevel="0" collapsed="false">
      <c r="A104" s="8" t="s">
        <v>702</v>
      </c>
      <c r="B104" s="8" t="s">
        <v>678</v>
      </c>
      <c r="C104" s="15" t="s">
        <v>6</v>
      </c>
      <c r="D104" s="8" t="s">
        <v>679</v>
      </c>
      <c r="E104" s="8" t="s">
        <v>703</v>
      </c>
      <c r="F104" s="12" t="s">
        <v>8</v>
      </c>
      <c r="G104" s="8" t="s">
        <v>704</v>
      </c>
      <c r="H104" s="8" t="s">
        <v>12</v>
      </c>
      <c r="I104" s="8" t="s">
        <v>705</v>
      </c>
      <c r="J104" s="8" t="s">
        <v>706</v>
      </c>
      <c r="K104" s="8" t="s">
        <v>52</v>
      </c>
      <c r="L104" s="8" t="s">
        <v>707</v>
      </c>
      <c r="M104" s="8" t="s">
        <v>343</v>
      </c>
      <c r="N104" s="8" t="s">
        <v>21</v>
      </c>
      <c r="O104" s="8" t="s">
        <v>112</v>
      </c>
    </row>
    <row r="105" customFormat="false" ht="46.25" hidden="false" customHeight="false" outlineLevel="0" collapsed="false">
      <c r="A105" s="8" t="s">
        <v>708</v>
      </c>
      <c r="B105" s="8" t="s">
        <v>678</v>
      </c>
      <c r="C105" s="15" t="s">
        <v>6</v>
      </c>
      <c r="D105" s="8" t="s">
        <v>679</v>
      </c>
      <c r="E105" s="8" t="s">
        <v>709</v>
      </c>
      <c r="F105" s="12" t="s">
        <v>8</v>
      </c>
      <c r="G105" s="8" t="s">
        <v>710</v>
      </c>
      <c r="H105" s="8" t="s">
        <v>12</v>
      </c>
      <c r="I105" s="8" t="s">
        <v>711</v>
      </c>
      <c r="J105" s="8" t="s">
        <v>712</v>
      </c>
      <c r="K105" s="8" t="s">
        <v>52</v>
      </c>
      <c r="L105" s="8" t="s">
        <v>154</v>
      </c>
      <c r="M105" s="8" t="s">
        <v>343</v>
      </c>
      <c r="N105" s="8" t="s">
        <v>21</v>
      </c>
      <c r="O105" s="8" t="s">
        <v>112</v>
      </c>
    </row>
    <row r="106" customFormat="false" ht="46.25" hidden="false" customHeight="false" outlineLevel="0" collapsed="false">
      <c r="A106" s="8" t="s">
        <v>713</v>
      </c>
      <c r="B106" s="8" t="s">
        <v>678</v>
      </c>
      <c r="C106" s="16" t="s">
        <v>7</v>
      </c>
      <c r="D106" s="8" t="s">
        <v>679</v>
      </c>
      <c r="E106" s="8" t="s">
        <v>714</v>
      </c>
      <c r="F106" s="12" t="s">
        <v>8</v>
      </c>
      <c r="G106" s="8" t="s">
        <v>715</v>
      </c>
      <c r="H106" s="8" t="s">
        <v>17</v>
      </c>
      <c r="I106" s="8" t="s">
        <v>682</v>
      </c>
      <c r="J106" s="8" t="s">
        <v>173</v>
      </c>
      <c r="K106" s="8" t="s">
        <v>78</v>
      </c>
      <c r="L106" s="8" t="s">
        <v>154</v>
      </c>
      <c r="M106" s="8" t="s">
        <v>343</v>
      </c>
      <c r="N106" s="8" t="s">
        <v>21</v>
      </c>
      <c r="O106" s="8" t="s">
        <v>112</v>
      </c>
    </row>
    <row r="107" customFormat="false" ht="46.25" hidden="false" customHeight="false" outlineLevel="0" collapsed="false">
      <c r="A107" s="8" t="s">
        <v>716</v>
      </c>
      <c r="B107" s="8" t="s">
        <v>678</v>
      </c>
      <c r="C107" s="16" t="s">
        <v>7</v>
      </c>
      <c r="D107" s="8" t="s">
        <v>679</v>
      </c>
      <c r="E107" s="8" t="s">
        <v>717</v>
      </c>
      <c r="F107" s="10" t="s">
        <v>9</v>
      </c>
      <c r="G107" s="8" t="s">
        <v>718</v>
      </c>
      <c r="H107" s="8" t="s">
        <v>17</v>
      </c>
      <c r="I107" s="8" t="s">
        <v>682</v>
      </c>
      <c r="J107" s="8" t="s">
        <v>719</v>
      </c>
      <c r="K107" s="8" t="s">
        <v>78</v>
      </c>
      <c r="L107" s="8" t="s">
        <v>720</v>
      </c>
      <c r="M107" s="8" t="s">
        <v>399</v>
      </c>
      <c r="N107" s="8" t="s">
        <v>22</v>
      </c>
      <c r="O107" s="8" t="s">
        <v>112</v>
      </c>
    </row>
    <row r="108" customFormat="false" ht="46.25" hidden="false" customHeight="false" outlineLevel="0" collapsed="false">
      <c r="A108" s="8" t="s">
        <v>721</v>
      </c>
      <c r="B108" s="8" t="s">
        <v>678</v>
      </c>
      <c r="C108" s="15" t="s">
        <v>6</v>
      </c>
      <c r="D108" s="8" t="s">
        <v>722</v>
      </c>
      <c r="E108" s="8" t="s">
        <v>723</v>
      </c>
      <c r="F108" s="12" t="s">
        <v>8</v>
      </c>
      <c r="G108" s="8" t="s">
        <v>724</v>
      </c>
      <c r="H108" s="8" t="s">
        <v>17</v>
      </c>
      <c r="I108" s="8" t="s">
        <v>682</v>
      </c>
      <c r="J108" s="8" t="s">
        <v>725</v>
      </c>
      <c r="K108" s="8" t="s">
        <v>52</v>
      </c>
      <c r="L108" s="8" t="s">
        <v>726</v>
      </c>
      <c r="M108" s="8" t="s">
        <v>350</v>
      </c>
      <c r="N108" s="8" t="s">
        <v>21</v>
      </c>
      <c r="O108" s="8" t="s">
        <v>112</v>
      </c>
    </row>
    <row r="109" customFormat="false" ht="68.65" hidden="false" customHeight="false" outlineLevel="0" collapsed="false">
      <c r="A109" s="8" t="s">
        <v>727</v>
      </c>
      <c r="B109" s="8" t="s">
        <v>678</v>
      </c>
      <c r="C109" s="16" t="s">
        <v>7</v>
      </c>
      <c r="D109" s="8" t="s">
        <v>722</v>
      </c>
      <c r="E109" s="8" t="s">
        <v>728</v>
      </c>
      <c r="F109" s="20" t="s">
        <v>10</v>
      </c>
      <c r="G109" s="8" t="s">
        <v>729</v>
      </c>
      <c r="H109" s="8" t="s">
        <v>17</v>
      </c>
      <c r="I109" s="8" t="s">
        <v>682</v>
      </c>
      <c r="J109" s="8" t="s">
        <v>173</v>
      </c>
      <c r="K109" s="8" t="s">
        <v>78</v>
      </c>
      <c r="L109" s="8" t="s">
        <v>730</v>
      </c>
      <c r="M109" s="8" t="s">
        <v>42</v>
      </c>
      <c r="N109" s="8" t="s">
        <v>23</v>
      </c>
      <c r="O109" s="8" t="s">
        <v>112</v>
      </c>
    </row>
    <row r="110" customFormat="false" ht="46.25" hidden="false" customHeight="false" outlineLevel="0" collapsed="false">
      <c r="A110" s="8" t="s">
        <v>731</v>
      </c>
      <c r="B110" s="8" t="s">
        <v>678</v>
      </c>
      <c r="C110" s="15" t="s">
        <v>6</v>
      </c>
      <c r="D110" s="8" t="s">
        <v>722</v>
      </c>
      <c r="E110" s="8" t="s">
        <v>732</v>
      </c>
      <c r="F110" s="20" t="s">
        <v>10</v>
      </c>
      <c r="G110" s="8" t="s">
        <v>733</v>
      </c>
      <c r="H110" s="8" t="s">
        <v>17</v>
      </c>
      <c r="I110" s="8" t="s">
        <v>682</v>
      </c>
      <c r="J110" s="8" t="s">
        <v>734</v>
      </c>
      <c r="K110" s="8" t="s">
        <v>78</v>
      </c>
      <c r="L110" s="8" t="s">
        <v>735</v>
      </c>
      <c r="M110" s="8" t="s">
        <v>399</v>
      </c>
      <c r="N110" s="8" t="s">
        <v>23</v>
      </c>
      <c r="O110" s="8" t="s">
        <v>112</v>
      </c>
    </row>
    <row r="111" customFormat="false" ht="46.25" hidden="false" customHeight="false" outlineLevel="0" collapsed="false">
      <c r="A111" s="8" t="s">
        <v>736</v>
      </c>
      <c r="B111" s="8" t="s">
        <v>678</v>
      </c>
      <c r="C111" s="14" t="s">
        <v>5</v>
      </c>
      <c r="D111" s="8" t="s">
        <v>679</v>
      </c>
      <c r="E111" s="8" t="s">
        <v>737</v>
      </c>
      <c r="F111" s="12" t="s">
        <v>8</v>
      </c>
      <c r="G111" s="8" t="s">
        <v>738</v>
      </c>
      <c r="H111" s="8" t="s">
        <v>17</v>
      </c>
      <c r="I111" s="8" t="s">
        <v>682</v>
      </c>
      <c r="J111" s="8" t="s">
        <v>739</v>
      </c>
      <c r="K111" s="8" t="s">
        <v>52</v>
      </c>
      <c r="L111" s="8" t="s">
        <v>154</v>
      </c>
      <c r="M111" s="8" t="s">
        <v>343</v>
      </c>
      <c r="N111" s="8" t="s">
        <v>21</v>
      </c>
      <c r="O111" s="8" t="s">
        <v>740</v>
      </c>
    </row>
    <row r="112" customFormat="false" ht="57.45" hidden="false" customHeight="false" outlineLevel="0" collapsed="false">
      <c r="A112" s="8" t="s">
        <v>741</v>
      </c>
      <c r="B112" s="8" t="s">
        <v>678</v>
      </c>
      <c r="C112" s="16" t="s">
        <v>7</v>
      </c>
      <c r="D112" s="8" t="s">
        <v>679</v>
      </c>
      <c r="E112" s="8" t="s">
        <v>742</v>
      </c>
      <c r="F112" s="20" t="s">
        <v>10</v>
      </c>
      <c r="G112" s="8" t="s">
        <v>743</v>
      </c>
      <c r="H112" s="8" t="s">
        <v>17</v>
      </c>
      <c r="I112" s="8" t="s">
        <v>682</v>
      </c>
      <c r="J112" s="8" t="s">
        <v>173</v>
      </c>
      <c r="K112" s="8" t="s">
        <v>78</v>
      </c>
      <c r="L112" s="8" t="s">
        <v>744</v>
      </c>
      <c r="M112" s="8" t="s">
        <v>42</v>
      </c>
      <c r="N112" s="8" t="s">
        <v>23</v>
      </c>
      <c r="O112" s="8" t="s">
        <v>112</v>
      </c>
    </row>
    <row r="113" customFormat="false" ht="46.25" hidden="false" customHeight="false" outlineLevel="0" collapsed="false">
      <c r="A113" s="8" t="s">
        <v>745</v>
      </c>
      <c r="B113" s="8" t="s">
        <v>678</v>
      </c>
      <c r="C113" s="9" t="s">
        <v>4</v>
      </c>
      <c r="D113" s="8" t="s">
        <v>722</v>
      </c>
      <c r="E113" s="8" t="s">
        <v>746</v>
      </c>
      <c r="F113" s="10" t="s">
        <v>9</v>
      </c>
      <c r="G113" s="8" t="s">
        <v>747</v>
      </c>
      <c r="H113" s="8" t="s">
        <v>17</v>
      </c>
      <c r="I113" s="8" t="s">
        <v>682</v>
      </c>
      <c r="J113" s="8" t="s">
        <v>748</v>
      </c>
      <c r="K113" s="8" t="s">
        <v>52</v>
      </c>
      <c r="L113" s="8" t="s">
        <v>749</v>
      </c>
      <c r="M113" s="8" t="s">
        <v>399</v>
      </c>
      <c r="N113" s="8" t="s">
        <v>22</v>
      </c>
      <c r="O113" s="8" t="s">
        <v>750</v>
      </c>
    </row>
    <row r="114" customFormat="false" ht="57.45" hidden="false" customHeight="false" outlineLevel="0" collapsed="false">
      <c r="A114" s="8" t="s">
        <v>751</v>
      </c>
      <c r="B114" s="8" t="s">
        <v>678</v>
      </c>
      <c r="C114" s="14" t="s">
        <v>5</v>
      </c>
      <c r="D114" s="8" t="s">
        <v>722</v>
      </c>
      <c r="E114" s="8" t="s">
        <v>752</v>
      </c>
      <c r="F114" s="10" t="s">
        <v>9</v>
      </c>
      <c r="G114" s="8" t="s">
        <v>753</v>
      </c>
      <c r="H114" s="8" t="s">
        <v>12</v>
      </c>
      <c r="I114" s="8" t="s">
        <v>754</v>
      </c>
      <c r="J114" s="8" t="s">
        <v>755</v>
      </c>
      <c r="K114" s="8" t="s">
        <v>52</v>
      </c>
      <c r="L114" s="8" t="s">
        <v>756</v>
      </c>
      <c r="M114" s="8" t="s">
        <v>399</v>
      </c>
      <c r="N114" s="8" t="s">
        <v>22</v>
      </c>
      <c r="O114" s="8" t="s">
        <v>112</v>
      </c>
    </row>
    <row r="115" customFormat="false" ht="68.65" hidden="false" customHeight="false" outlineLevel="0" collapsed="false">
      <c r="A115" s="8" t="s">
        <v>757</v>
      </c>
      <c r="B115" s="8" t="s">
        <v>678</v>
      </c>
      <c r="C115" s="14" t="s">
        <v>5</v>
      </c>
      <c r="D115" s="8" t="s">
        <v>722</v>
      </c>
      <c r="E115" s="8" t="s">
        <v>758</v>
      </c>
      <c r="F115" s="12" t="s">
        <v>8</v>
      </c>
      <c r="G115" s="8" t="s">
        <v>759</v>
      </c>
      <c r="H115" s="8" t="s">
        <v>17</v>
      </c>
      <c r="I115" s="8" t="s">
        <v>682</v>
      </c>
      <c r="J115" s="8" t="s">
        <v>760</v>
      </c>
      <c r="K115" s="8" t="s">
        <v>52</v>
      </c>
      <c r="L115" s="8" t="s">
        <v>761</v>
      </c>
      <c r="M115" s="8" t="s">
        <v>350</v>
      </c>
      <c r="N115" s="8" t="s">
        <v>21</v>
      </c>
      <c r="O115" s="8" t="s">
        <v>112</v>
      </c>
    </row>
    <row r="116" customFormat="false" ht="46.25" hidden="false" customHeight="false" outlineLevel="0" collapsed="false">
      <c r="A116" s="8" t="s">
        <v>762</v>
      </c>
      <c r="B116" s="8" t="s">
        <v>678</v>
      </c>
      <c r="C116" s="15" t="s">
        <v>6</v>
      </c>
      <c r="D116" s="8" t="s">
        <v>722</v>
      </c>
      <c r="E116" s="8" t="s">
        <v>763</v>
      </c>
      <c r="F116" s="12" t="s">
        <v>8</v>
      </c>
      <c r="G116" s="8" t="s">
        <v>764</v>
      </c>
      <c r="H116" s="8" t="s">
        <v>17</v>
      </c>
      <c r="I116" s="8" t="s">
        <v>682</v>
      </c>
      <c r="J116" s="8" t="s">
        <v>765</v>
      </c>
      <c r="K116" s="8" t="s">
        <v>52</v>
      </c>
      <c r="L116" s="8" t="s">
        <v>766</v>
      </c>
      <c r="M116" s="8" t="s">
        <v>350</v>
      </c>
      <c r="N116" s="8" t="s">
        <v>21</v>
      </c>
      <c r="O116" s="8" t="s">
        <v>112</v>
      </c>
    </row>
    <row r="117" customFormat="false" ht="35.05" hidden="false" customHeight="false" outlineLevel="0" collapsed="false">
      <c r="A117" s="8" t="s">
        <v>767</v>
      </c>
      <c r="B117" s="8" t="s">
        <v>678</v>
      </c>
      <c r="C117" s="15" t="s">
        <v>6</v>
      </c>
      <c r="D117" s="8" t="s">
        <v>722</v>
      </c>
      <c r="E117" s="8" t="s">
        <v>768</v>
      </c>
      <c r="F117" s="12" t="s">
        <v>8</v>
      </c>
      <c r="G117" s="8" t="s">
        <v>769</v>
      </c>
      <c r="H117" s="8" t="s">
        <v>17</v>
      </c>
      <c r="I117" s="8" t="s">
        <v>682</v>
      </c>
      <c r="J117" s="8" t="s">
        <v>770</v>
      </c>
      <c r="K117" s="8" t="s">
        <v>52</v>
      </c>
      <c r="L117" s="8" t="s">
        <v>771</v>
      </c>
      <c r="M117" s="8" t="s">
        <v>350</v>
      </c>
      <c r="N117" s="8" t="s">
        <v>21</v>
      </c>
      <c r="O117" s="8" t="s">
        <v>112</v>
      </c>
    </row>
    <row r="118" customFormat="false" ht="68.65" hidden="false" customHeight="false" outlineLevel="0" collapsed="false">
      <c r="A118" s="8" t="s">
        <v>772</v>
      </c>
      <c r="B118" s="8" t="s">
        <v>678</v>
      </c>
      <c r="C118" s="16" t="s">
        <v>7</v>
      </c>
      <c r="D118" s="8" t="s">
        <v>722</v>
      </c>
      <c r="E118" s="8" t="s">
        <v>773</v>
      </c>
      <c r="F118" s="10" t="s">
        <v>9</v>
      </c>
      <c r="G118" s="8" t="s">
        <v>774</v>
      </c>
      <c r="H118" s="8" t="s">
        <v>12</v>
      </c>
      <c r="I118" s="8" t="s">
        <v>775</v>
      </c>
      <c r="J118" s="8" t="s">
        <v>776</v>
      </c>
      <c r="K118" s="8" t="s">
        <v>78</v>
      </c>
      <c r="L118" s="8" t="s">
        <v>777</v>
      </c>
      <c r="M118" s="8" t="s">
        <v>399</v>
      </c>
      <c r="N118" s="8" t="s">
        <v>22</v>
      </c>
      <c r="O118" s="8" t="s">
        <v>778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10"/>
    <col collapsed="false" customWidth="true" hidden="false" outlineLevel="0" max="4" min="4" style="0" width="18"/>
    <col collapsed="false" customWidth="true" hidden="false" outlineLevel="0" max="5" min="5" style="0" width="50"/>
    <col collapsed="false" customWidth="true" hidden="false" outlineLevel="0" max="6" min="6" style="0" width="14"/>
    <col collapsed="false" customWidth="true" hidden="false" outlineLevel="0" max="7" min="7" style="0" width="50"/>
    <col collapsed="false" customWidth="true" hidden="false" outlineLevel="0" max="8" min="8" style="0" width="16"/>
    <col collapsed="false" customWidth="true" hidden="false" outlineLevel="0" max="9" min="9" style="0" width="45"/>
    <col collapsed="false" customWidth="true" hidden="false" outlineLevel="0" max="10" min="10" style="0" width="50"/>
    <col collapsed="false" customWidth="true" hidden="false" outlineLevel="0" max="11" min="11" style="0" width="10"/>
    <col collapsed="false" customWidth="true" hidden="false" outlineLevel="0" max="12" min="12" style="0" width="50"/>
    <col collapsed="false" customWidth="true" hidden="false" outlineLevel="0" max="13" min="13" style="0" width="22"/>
    <col collapsed="false" customWidth="true" hidden="false" outlineLevel="0" max="14" min="14" style="0" width="18"/>
    <col collapsed="false" customWidth="true" hidden="false" outlineLevel="0" max="15" min="15" style="0" width="45"/>
  </cols>
  <sheetData>
    <row r="1" customFormat="false" ht="17.35" hidden="false" customHeight="false" outlineLevel="0" collapsed="false">
      <c r="A1" s="1" t="s">
        <v>343</v>
      </c>
    </row>
    <row r="2" customFormat="false" ht="15" hidden="false" customHeight="false" outlineLevel="0" collapsed="false">
      <c r="A2" s="6" t="s">
        <v>779</v>
      </c>
    </row>
    <row r="4" customFormat="false" ht="35.05" hidden="false" customHeight="false" outlineLevel="0" collapsed="false">
      <c r="A4" s="7" t="s">
        <v>31</v>
      </c>
      <c r="B4" s="7" t="s">
        <v>32</v>
      </c>
      <c r="C4" s="7" t="s">
        <v>33</v>
      </c>
      <c r="D4" s="7" t="s">
        <v>34</v>
      </c>
      <c r="E4" s="7" t="s">
        <v>35</v>
      </c>
      <c r="F4" s="7" t="s">
        <v>36</v>
      </c>
      <c r="G4" s="7" t="s">
        <v>37</v>
      </c>
      <c r="H4" s="7" t="s">
        <v>38</v>
      </c>
      <c r="I4" s="7" t="s">
        <v>39</v>
      </c>
      <c r="J4" s="7" t="s">
        <v>40</v>
      </c>
      <c r="K4" s="7" t="s">
        <v>41</v>
      </c>
      <c r="L4" s="7" t="s">
        <v>42</v>
      </c>
      <c r="M4" s="7" t="s">
        <v>43</v>
      </c>
      <c r="N4" s="7" t="s">
        <v>18</v>
      </c>
      <c r="O4" s="7" t="s">
        <v>44</v>
      </c>
    </row>
    <row r="5" customFormat="false" ht="68.65" hidden="false" customHeight="false" outlineLevel="0" collapsed="false">
      <c r="A5" s="8" t="s">
        <v>56</v>
      </c>
      <c r="B5" s="8" t="s">
        <v>46</v>
      </c>
      <c r="C5" s="9" t="s">
        <v>4</v>
      </c>
      <c r="D5" s="8" t="s">
        <v>57</v>
      </c>
      <c r="E5" s="8" t="s">
        <v>58</v>
      </c>
      <c r="F5" s="12" t="s">
        <v>8</v>
      </c>
      <c r="G5" s="8" t="s">
        <v>59</v>
      </c>
      <c r="H5" s="11" t="s">
        <v>14</v>
      </c>
      <c r="I5" s="8" t="s">
        <v>60</v>
      </c>
      <c r="J5" s="8" t="s">
        <v>61</v>
      </c>
      <c r="K5" s="8" t="s">
        <v>52</v>
      </c>
      <c r="L5" s="8" t="s">
        <v>62</v>
      </c>
      <c r="M5" s="8" t="s">
        <v>63</v>
      </c>
      <c r="N5" s="8" t="s">
        <v>21</v>
      </c>
      <c r="O5" s="8" t="s">
        <v>64</v>
      </c>
    </row>
    <row r="6" customFormat="false" ht="46.25" hidden="false" customHeight="false" outlineLevel="0" collapsed="false">
      <c r="A6" s="8" t="s">
        <v>73</v>
      </c>
      <c r="B6" s="8" t="s">
        <v>46</v>
      </c>
      <c r="C6" s="14" t="s">
        <v>5</v>
      </c>
      <c r="D6" s="8" t="s">
        <v>66</v>
      </c>
      <c r="E6" s="8" t="s">
        <v>74</v>
      </c>
      <c r="F6" s="12" t="s">
        <v>8</v>
      </c>
      <c r="G6" s="8" t="s">
        <v>75</v>
      </c>
      <c r="H6" s="13" t="s">
        <v>15</v>
      </c>
      <c r="I6" s="8" t="s">
        <v>76</v>
      </c>
      <c r="J6" s="8" t="s">
        <v>77</v>
      </c>
      <c r="K6" s="8" t="s">
        <v>78</v>
      </c>
      <c r="L6" s="8" t="s">
        <v>79</v>
      </c>
      <c r="M6" s="8" t="s">
        <v>63</v>
      </c>
      <c r="N6" s="8" t="s">
        <v>21</v>
      </c>
      <c r="O6" s="8" t="s">
        <v>80</v>
      </c>
    </row>
    <row r="7" customFormat="false" ht="57.45" hidden="false" customHeight="false" outlineLevel="0" collapsed="false">
      <c r="A7" s="8" t="s">
        <v>81</v>
      </c>
      <c r="B7" s="8" t="s">
        <v>46</v>
      </c>
      <c r="C7" s="14" t="s">
        <v>5</v>
      </c>
      <c r="D7" s="8" t="s">
        <v>82</v>
      </c>
      <c r="E7" s="8" t="s">
        <v>83</v>
      </c>
      <c r="F7" s="12" t="s">
        <v>8</v>
      </c>
      <c r="G7" s="8" t="s">
        <v>84</v>
      </c>
      <c r="H7" s="11" t="s">
        <v>14</v>
      </c>
      <c r="I7" s="8" t="s">
        <v>85</v>
      </c>
      <c r="J7" s="8" t="s">
        <v>86</v>
      </c>
      <c r="K7" s="8" t="s">
        <v>52</v>
      </c>
      <c r="L7" s="8" t="s">
        <v>87</v>
      </c>
      <c r="M7" s="8" t="s">
        <v>63</v>
      </c>
      <c r="N7" s="8" t="s">
        <v>21</v>
      </c>
      <c r="O7" s="8" t="s">
        <v>88</v>
      </c>
    </row>
    <row r="8" customFormat="false" ht="57.45" hidden="false" customHeight="false" outlineLevel="0" collapsed="false">
      <c r="A8" s="8" t="s">
        <v>105</v>
      </c>
      <c r="B8" s="8" t="s">
        <v>46</v>
      </c>
      <c r="C8" s="15" t="s">
        <v>6</v>
      </c>
      <c r="D8" s="8" t="s">
        <v>106</v>
      </c>
      <c r="E8" s="8" t="s">
        <v>107</v>
      </c>
      <c r="F8" s="12" t="s">
        <v>8</v>
      </c>
      <c r="G8" s="8" t="s">
        <v>108</v>
      </c>
      <c r="H8" s="13" t="s">
        <v>15</v>
      </c>
      <c r="I8" s="8" t="s">
        <v>109</v>
      </c>
      <c r="J8" s="8" t="s">
        <v>110</v>
      </c>
      <c r="K8" s="8" t="s">
        <v>52</v>
      </c>
      <c r="L8" s="8" t="s">
        <v>111</v>
      </c>
      <c r="M8" s="8" t="s">
        <v>63</v>
      </c>
      <c r="N8" s="8" t="s">
        <v>21</v>
      </c>
      <c r="O8" s="8" t="s">
        <v>112</v>
      </c>
    </row>
    <row r="9" customFormat="false" ht="57.45" hidden="false" customHeight="false" outlineLevel="0" collapsed="false">
      <c r="A9" s="8" t="s">
        <v>128</v>
      </c>
      <c r="B9" s="8" t="s">
        <v>46</v>
      </c>
      <c r="C9" s="15" t="s">
        <v>6</v>
      </c>
      <c r="D9" s="8" t="s">
        <v>129</v>
      </c>
      <c r="E9" s="8" t="s">
        <v>130</v>
      </c>
      <c r="F9" s="12" t="s">
        <v>8</v>
      </c>
      <c r="G9" s="8" t="s">
        <v>131</v>
      </c>
      <c r="H9" s="11" t="s">
        <v>14</v>
      </c>
      <c r="I9" s="8" t="s">
        <v>132</v>
      </c>
      <c r="J9" s="8" t="s">
        <v>133</v>
      </c>
      <c r="K9" s="8" t="s">
        <v>52</v>
      </c>
      <c r="L9" s="8" t="s">
        <v>134</v>
      </c>
      <c r="M9" s="8" t="s">
        <v>63</v>
      </c>
      <c r="N9" s="8" t="s">
        <v>21</v>
      </c>
      <c r="O9" s="8" t="s">
        <v>112</v>
      </c>
    </row>
    <row r="10" customFormat="false" ht="35.05" hidden="false" customHeight="false" outlineLevel="0" collapsed="false">
      <c r="A10" s="8" t="s">
        <v>149</v>
      </c>
      <c r="B10" s="8" t="s">
        <v>46</v>
      </c>
      <c r="C10" s="15" t="s">
        <v>6</v>
      </c>
      <c r="D10" s="8" t="s">
        <v>136</v>
      </c>
      <c r="E10" s="8" t="s">
        <v>150</v>
      </c>
      <c r="F10" s="12" t="s">
        <v>8</v>
      </c>
      <c r="G10" s="8" t="s">
        <v>151</v>
      </c>
      <c r="H10" s="11" t="s">
        <v>14</v>
      </c>
      <c r="I10" s="8" t="s">
        <v>152</v>
      </c>
      <c r="J10" s="8" t="s">
        <v>153</v>
      </c>
      <c r="K10" s="8" t="s">
        <v>52</v>
      </c>
      <c r="L10" s="8" t="s">
        <v>154</v>
      </c>
      <c r="M10" s="8" t="s">
        <v>63</v>
      </c>
      <c r="N10" s="8" t="s">
        <v>21</v>
      </c>
      <c r="O10" s="8" t="s">
        <v>112</v>
      </c>
    </row>
    <row r="11" customFormat="false" ht="46.25" hidden="false" customHeight="false" outlineLevel="0" collapsed="false">
      <c r="A11" s="8" t="s">
        <v>169</v>
      </c>
      <c r="B11" s="8" t="s">
        <v>46</v>
      </c>
      <c r="C11" s="16" t="s">
        <v>7</v>
      </c>
      <c r="D11" s="8" t="s">
        <v>136</v>
      </c>
      <c r="E11" s="8" t="s">
        <v>170</v>
      </c>
      <c r="F11" s="12" t="s">
        <v>8</v>
      </c>
      <c r="G11" s="8" t="s">
        <v>171</v>
      </c>
      <c r="H11" s="11" t="s">
        <v>14</v>
      </c>
      <c r="I11" s="8" t="s">
        <v>172</v>
      </c>
      <c r="J11" s="8" t="s">
        <v>173</v>
      </c>
      <c r="K11" s="8" t="s">
        <v>78</v>
      </c>
      <c r="L11" s="8" t="s">
        <v>154</v>
      </c>
      <c r="M11" s="8" t="s">
        <v>63</v>
      </c>
      <c r="N11" s="8" t="s">
        <v>21</v>
      </c>
      <c r="O11" s="8" t="s">
        <v>112</v>
      </c>
    </row>
    <row r="12" customFormat="false" ht="57.45" hidden="false" customHeight="false" outlineLevel="0" collapsed="false">
      <c r="A12" s="8" t="s">
        <v>182</v>
      </c>
      <c r="B12" s="8" t="s">
        <v>46</v>
      </c>
      <c r="C12" s="14" t="s">
        <v>5</v>
      </c>
      <c r="D12" s="8" t="s">
        <v>183</v>
      </c>
      <c r="E12" s="8" t="s">
        <v>184</v>
      </c>
      <c r="F12" s="12" t="s">
        <v>8</v>
      </c>
      <c r="G12" s="8" t="s">
        <v>185</v>
      </c>
      <c r="H12" s="11" t="s">
        <v>14</v>
      </c>
      <c r="I12" s="8" t="s">
        <v>186</v>
      </c>
      <c r="J12" s="8" t="s">
        <v>187</v>
      </c>
      <c r="K12" s="8" t="s">
        <v>52</v>
      </c>
      <c r="L12" s="8" t="s">
        <v>154</v>
      </c>
      <c r="M12" s="8" t="s">
        <v>63</v>
      </c>
      <c r="N12" s="8" t="s">
        <v>21</v>
      </c>
      <c r="O12" s="8" t="s">
        <v>112</v>
      </c>
    </row>
    <row r="13" customFormat="false" ht="35.05" hidden="false" customHeight="false" outlineLevel="0" collapsed="false">
      <c r="A13" s="8" t="s">
        <v>202</v>
      </c>
      <c r="B13" s="8" t="s">
        <v>46</v>
      </c>
      <c r="C13" s="15" t="s">
        <v>6</v>
      </c>
      <c r="D13" s="8" t="s">
        <v>183</v>
      </c>
      <c r="E13" s="8" t="s">
        <v>203</v>
      </c>
      <c r="F13" s="12" t="s">
        <v>8</v>
      </c>
      <c r="G13" s="8" t="s">
        <v>204</v>
      </c>
      <c r="H13" s="11" t="s">
        <v>14</v>
      </c>
      <c r="I13" s="8" t="s">
        <v>205</v>
      </c>
      <c r="J13" s="8" t="s">
        <v>206</v>
      </c>
      <c r="K13" s="8" t="s">
        <v>52</v>
      </c>
      <c r="L13" s="8" t="s">
        <v>154</v>
      </c>
      <c r="M13" s="8" t="s">
        <v>63</v>
      </c>
      <c r="N13" s="8" t="s">
        <v>21</v>
      </c>
      <c r="O13" s="8" t="s">
        <v>112</v>
      </c>
    </row>
    <row r="14" customFormat="false" ht="46.25" hidden="false" customHeight="false" outlineLevel="0" collapsed="false">
      <c r="A14" s="8" t="s">
        <v>207</v>
      </c>
      <c r="B14" s="8" t="s">
        <v>46</v>
      </c>
      <c r="C14" s="15" t="s">
        <v>6</v>
      </c>
      <c r="D14" s="8" t="s">
        <v>183</v>
      </c>
      <c r="E14" s="8" t="s">
        <v>208</v>
      </c>
      <c r="F14" s="12" t="s">
        <v>8</v>
      </c>
      <c r="G14" s="8" t="s">
        <v>209</v>
      </c>
      <c r="H14" s="11" t="s">
        <v>14</v>
      </c>
      <c r="I14" s="8" t="s">
        <v>210</v>
      </c>
      <c r="J14" s="8" t="s">
        <v>211</v>
      </c>
      <c r="K14" s="8" t="s">
        <v>52</v>
      </c>
      <c r="L14" s="8" t="s">
        <v>154</v>
      </c>
      <c r="M14" s="8" t="s">
        <v>63</v>
      </c>
      <c r="N14" s="8" t="s">
        <v>21</v>
      </c>
      <c r="O14" s="8" t="s">
        <v>112</v>
      </c>
    </row>
    <row r="15" customFormat="false" ht="57.45" hidden="false" customHeight="false" outlineLevel="0" collapsed="false">
      <c r="A15" s="8" t="s">
        <v>223</v>
      </c>
      <c r="B15" s="8" t="s">
        <v>46</v>
      </c>
      <c r="C15" s="15" t="s">
        <v>6</v>
      </c>
      <c r="D15" s="8" t="s">
        <v>183</v>
      </c>
      <c r="E15" s="8" t="s">
        <v>224</v>
      </c>
      <c r="F15" s="12" t="s">
        <v>8</v>
      </c>
      <c r="G15" s="8" t="s">
        <v>225</v>
      </c>
      <c r="H15" s="13" t="s">
        <v>15</v>
      </c>
      <c r="I15" s="8" t="s">
        <v>226</v>
      </c>
      <c r="J15" s="8" t="s">
        <v>227</v>
      </c>
      <c r="K15" s="8" t="s">
        <v>52</v>
      </c>
      <c r="L15" s="8" t="s">
        <v>228</v>
      </c>
      <c r="M15" s="8" t="s">
        <v>63</v>
      </c>
      <c r="N15" s="8" t="s">
        <v>21</v>
      </c>
      <c r="O15" s="8" t="s">
        <v>112</v>
      </c>
    </row>
    <row r="16" customFormat="false" ht="57.45" hidden="false" customHeight="false" outlineLevel="0" collapsed="false">
      <c r="A16" s="8" t="s">
        <v>229</v>
      </c>
      <c r="B16" s="8" t="s">
        <v>46</v>
      </c>
      <c r="C16" s="9" t="s">
        <v>4</v>
      </c>
      <c r="D16" s="8" t="s">
        <v>230</v>
      </c>
      <c r="E16" s="8" t="s">
        <v>231</v>
      </c>
      <c r="F16" s="12" t="s">
        <v>8</v>
      </c>
      <c r="G16" s="8" t="s">
        <v>232</v>
      </c>
      <c r="H16" s="13" t="s">
        <v>15</v>
      </c>
      <c r="I16" s="8" t="s">
        <v>233</v>
      </c>
      <c r="J16" s="8" t="s">
        <v>234</v>
      </c>
      <c r="K16" s="8" t="s">
        <v>78</v>
      </c>
      <c r="L16" s="8" t="s">
        <v>235</v>
      </c>
      <c r="M16" s="8" t="s">
        <v>63</v>
      </c>
      <c r="N16" s="8" t="s">
        <v>21</v>
      </c>
      <c r="O16" s="8" t="s">
        <v>236</v>
      </c>
    </row>
    <row r="17" customFormat="false" ht="46.25" hidden="false" customHeight="false" outlineLevel="0" collapsed="false">
      <c r="A17" s="8" t="s">
        <v>237</v>
      </c>
      <c r="B17" s="8" t="s">
        <v>46</v>
      </c>
      <c r="C17" s="14" t="s">
        <v>5</v>
      </c>
      <c r="D17" s="8" t="s">
        <v>238</v>
      </c>
      <c r="E17" s="8" t="s">
        <v>239</v>
      </c>
      <c r="F17" s="12" t="s">
        <v>8</v>
      </c>
      <c r="G17" s="8" t="s">
        <v>240</v>
      </c>
      <c r="H17" s="11" t="s">
        <v>14</v>
      </c>
      <c r="I17" s="8" t="s">
        <v>241</v>
      </c>
      <c r="J17" s="8" t="s">
        <v>242</v>
      </c>
      <c r="K17" s="8" t="s">
        <v>78</v>
      </c>
      <c r="L17" s="8" t="s">
        <v>243</v>
      </c>
      <c r="M17" s="8" t="s">
        <v>63</v>
      </c>
      <c r="N17" s="8" t="s">
        <v>21</v>
      </c>
      <c r="O17" s="8" t="s">
        <v>112</v>
      </c>
    </row>
    <row r="18" customFormat="false" ht="46.25" hidden="false" customHeight="false" outlineLevel="0" collapsed="false">
      <c r="A18" s="8" t="s">
        <v>250</v>
      </c>
      <c r="B18" s="8" t="s">
        <v>46</v>
      </c>
      <c r="C18" s="15" t="s">
        <v>6</v>
      </c>
      <c r="D18" s="8" t="s">
        <v>230</v>
      </c>
      <c r="E18" s="8" t="s">
        <v>251</v>
      </c>
      <c r="F18" s="12" t="s">
        <v>8</v>
      </c>
      <c r="G18" s="8" t="s">
        <v>252</v>
      </c>
      <c r="H18" s="11" t="s">
        <v>14</v>
      </c>
      <c r="I18" s="8" t="s">
        <v>253</v>
      </c>
      <c r="J18" s="8" t="s">
        <v>254</v>
      </c>
      <c r="K18" s="8" t="s">
        <v>78</v>
      </c>
      <c r="L18" s="8" t="s">
        <v>154</v>
      </c>
      <c r="M18" s="8" t="s">
        <v>63</v>
      </c>
      <c r="N18" s="8" t="s">
        <v>21</v>
      </c>
      <c r="O18" s="8" t="s">
        <v>112</v>
      </c>
    </row>
    <row r="19" customFormat="false" ht="57.45" hidden="false" customHeight="false" outlineLevel="0" collapsed="false">
      <c r="A19" s="8" t="s">
        <v>255</v>
      </c>
      <c r="B19" s="8" t="s">
        <v>46</v>
      </c>
      <c r="C19" s="15" t="s">
        <v>6</v>
      </c>
      <c r="D19" s="8" t="s">
        <v>230</v>
      </c>
      <c r="E19" s="8" t="s">
        <v>256</v>
      </c>
      <c r="F19" s="12" t="s">
        <v>8</v>
      </c>
      <c r="G19" s="8" t="s">
        <v>257</v>
      </c>
      <c r="H19" s="11" t="s">
        <v>14</v>
      </c>
      <c r="I19" s="8" t="s">
        <v>258</v>
      </c>
      <c r="J19" s="8" t="s">
        <v>259</v>
      </c>
      <c r="K19" s="8" t="s">
        <v>78</v>
      </c>
      <c r="L19" s="8" t="s">
        <v>260</v>
      </c>
      <c r="M19" s="8" t="s">
        <v>63</v>
      </c>
      <c r="N19" s="8" t="s">
        <v>21</v>
      </c>
      <c r="O19" s="8" t="s">
        <v>112</v>
      </c>
    </row>
    <row r="20" customFormat="false" ht="79.85" hidden="false" customHeight="false" outlineLevel="0" collapsed="false">
      <c r="A20" s="8" t="s">
        <v>281</v>
      </c>
      <c r="B20" s="8" t="s">
        <v>46</v>
      </c>
      <c r="C20" s="9" t="s">
        <v>4</v>
      </c>
      <c r="D20" s="8" t="s">
        <v>282</v>
      </c>
      <c r="E20" s="8" t="s">
        <v>283</v>
      </c>
      <c r="F20" s="12" t="s">
        <v>8</v>
      </c>
      <c r="G20" s="8" t="s">
        <v>284</v>
      </c>
      <c r="H20" s="11" t="s">
        <v>14</v>
      </c>
      <c r="I20" s="8" t="s">
        <v>285</v>
      </c>
      <c r="J20" s="8" t="s">
        <v>286</v>
      </c>
      <c r="K20" s="8" t="s">
        <v>52</v>
      </c>
      <c r="L20" s="8" t="s">
        <v>287</v>
      </c>
      <c r="M20" s="8" t="s">
        <v>288</v>
      </c>
      <c r="N20" s="8" t="s">
        <v>21</v>
      </c>
      <c r="O20" s="8" t="s">
        <v>289</v>
      </c>
    </row>
    <row r="21" customFormat="false" ht="57.45" hidden="false" customHeight="false" outlineLevel="0" collapsed="false">
      <c r="A21" s="8" t="s">
        <v>298</v>
      </c>
      <c r="B21" s="8" t="s">
        <v>46</v>
      </c>
      <c r="C21" s="15" t="s">
        <v>6</v>
      </c>
      <c r="D21" s="8" t="s">
        <v>299</v>
      </c>
      <c r="E21" s="8" t="s">
        <v>300</v>
      </c>
      <c r="F21" s="12" t="s">
        <v>8</v>
      </c>
      <c r="G21" s="8" t="s">
        <v>301</v>
      </c>
      <c r="H21" s="13" t="s">
        <v>15</v>
      </c>
      <c r="I21" s="8" t="s">
        <v>302</v>
      </c>
      <c r="J21" s="8" t="s">
        <v>303</v>
      </c>
      <c r="K21" s="8" t="s">
        <v>52</v>
      </c>
      <c r="L21" s="8" t="s">
        <v>304</v>
      </c>
      <c r="M21" s="8" t="s">
        <v>63</v>
      </c>
      <c r="N21" s="8" t="s">
        <v>21</v>
      </c>
      <c r="O21" s="8" t="s">
        <v>305</v>
      </c>
    </row>
    <row r="22" customFormat="false" ht="46.25" hidden="false" customHeight="false" outlineLevel="0" collapsed="false">
      <c r="A22" s="8" t="s">
        <v>306</v>
      </c>
      <c r="B22" s="8" t="s">
        <v>46</v>
      </c>
      <c r="C22" s="15" t="s">
        <v>6</v>
      </c>
      <c r="D22" s="8" t="s">
        <v>282</v>
      </c>
      <c r="E22" s="8" t="s">
        <v>307</v>
      </c>
      <c r="F22" s="12" t="s">
        <v>8</v>
      </c>
      <c r="G22" s="8" t="s">
        <v>308</v>
      </c>
      <c r="H22" s="13" t="s">
        <v>15</v>
      </c>
      <c r="I22" s="8" t="s">
        <v>309</v>
      </c>
      <c r="J22" s="8" t="s">
        <v>310</v>
      </c>
      <c r="K22" s="8" t="s">
        <v>52</v>
      </c>
      <c r="L22" s="8" t="s">
        <v>311</v>
      </c>
      <c r="M22" s="8" t="s">
        <v>288</v>
      </c>
      <c r="N22" s="8" t="s">
        <v>21</v>
      </c>
      <c r="O22" s="8" t="s">
        <v>112</v>
      </c>
    </row>
    <row r="23" customFormat="false" ht="46.25" hidden="false" customHeight="false" outlineLevel="0" collapsed="false">
      <c r="A23" s="8" t="s">
        <v>338</v>
      </c>
      <c r="B23" s="8" t="s">
        <v>46</v>
      </c>
      <c r="C23" s="15" t="s">
        <v>6</v>
      </c>
      <c r="D23" s="8" t="s">
        <v>331</v>
      </c>
      <c r="E23" s="8" t="s">
        <v>339</v>
      </c>
      <c r="F23" s="12" t="s">
        <v>8</v>
      </c>
      <c r="G23" s="8" t="s">
        <v>340</v>
      </c>
      <c r="H23" s="8" t="s">
        <v>12</v>
      </c>
      <c r="I23" s="8" t="s">
        <v>341</v>
      </c>
      <c r="J23" s="8" t="s">
        <v>342</v>
      </c>
      <c r="K23" s="8" t="s">
        <v>52</v>
      </c>
      <c r="L23" s="8" t="s">
        <v>154</v>
      </c>
      <c r="M23" s="8" t="s">
        <v>343</v>
      </c>
      <c r="N23" s="8" t="s">
        <v>21</v>
      </c>
      <c r="O23" s="8" t="s">
        <v>112</v>
      </c>
    </row>
    <row r="24" customFormat="false" ht="57.45" hidden="false" customHeight="false" outlineLevel="0" collapsed="false">
      <c r="A24" s="8" t="s">
        <v>344</v>
      </c>
      <c r="B24" s="8" t="s">
        <v>46</v>
      </c>
      <c r="C24" s="15" t="s">
        <v>6</v>
      </c>
      <c r="D24" s="8" t="s">
        <v>331</v>
      </c>
      <c r="E24" s="8" t="s">
        <v>345</v>
      </c>
      <c r="F24" s="12" t="s">
        <v>8</v>
      </c>
      <c r="G24" s="8" t="s">
        <v>346</v>
      </c>
      <c r="H24" s="8" t="s">
        <v>17</v>
      </c>
      <c r="I24" s="8" t="s">
        <v>347</v>
      </c>
      <c r="J24" s="8" t="s">
        <v>348</v>
      </c>
      <c r="K24" s="8" t="s">
        <v>78</v>
      </c>
      <c r="L24" s="8" t="s">
        <v>349</v>
      </c>
      <c r="M24" s="8" t="s">
        <v>350</v>
      </c>
      <c r="N24" s="8" t="s">
        <v>21</v>
      </c>
      <c r="O24" s="8" t="s">
        <v>112</v>
      </c>
    </row>
    <row r="25" customFormat="false" ht="57.45" hidden="false" customHeight="false" outlineLevel="0" collapsed="false">
      <c r="A25" s="8" t="s">
        <v>359</v>
      </c>
      <c r="B25" s="8" t="s">
        <v>46</v>
      </c>
      <c r="C25" s="14" t="s">
        <v>5</v>
      </c>
      <c r="D25" s="8" t="s">
        <v>352</v>
      </c>
      <c r="E25" s="8" t="s">
        <v>360</v>
      </c>
      <c r="F25" s="12" t="s">
        <v>8</v>
      </c>
      <c r="G25" s="8" t="s">
        <v>361</v>
      </c>
      <c r="H25" s="13" t="s">
        <v>15</v>
      </c>
      <c r="I25" s="8" t="s">
        <v>362</v>
      </c>
      <c r="J25" s="8" t="s">
        <v>363</v>
      </c>
      <c r="K25" s="8" t="s">
        <v>52</v>
      </c>
      <c r="L25" s="8" t="s">
        <v>364</v>
      </c>
      <c r="M25" s="8" t="s">
        <v>63</v>
      </c>
      <c r="N25" s="8" t="s">
        <v>21</v>
      </c>
      <c r="O25" s="8" t="s">
        <v>365</v>
      </c>
    </row>
    <row r="26" customFormat="false" ht="46.25" hidden="false" customHeight="false" outlineLevel="0" collapsed="false">
      <c r="A26" s="8" t="s">
        <v>366</v>
      </c>
      <c r="B26" s="8" t="s">
        <v>46</v>
      </c>
      <c r="C26" s="14" t="s">
        <v>5</v>
      </c>
      <c r="D26" s="8" t="s">
        <v>352</v>
      </c>
      <c r="E26" s="8" t="s">
        <v>367</v>
      </c>
      <c r="F26" s="12" t="s">
        <v>8</v>
      </c>
      <c r="G26" s="8" t="s">
        <v>368</v>
      </c>
      <c r="H26" s="8" t="s">
        <v>12</v>
      </c>
      <c r="I26" s="8" t="s">
        <v>369</v>
      </c>
      <c r="J26" s="8" t="s">
        <v>370</v>
      </c>
      <c r="K26" s="8" t="s">
        <v>78</v>
      </c>
      <c r="L26" s="8" t="s">
        <v>371</v>
      </c>
      <c r="M26" s="8" t="s">
        <v>343</v>
      </c>
      <c r="N26" s="8" t="s">
        <v>21</v>
      </c>
      <c r="O26" s="8" t="s">
        <v>372</v>
      </c>
    </row>
    <row r="27" customFormat="false" ht="46.25" hidden="false" customHeight="false" outlineLevel="0" collapsed="false">
      <c r="A27" s="8" t="s">
        <v>381</v>
      </c>
      <c r="B27" s="8" t="s">
        <v>46</v>
      </c>
      <c r="C27" s="15" t="s">
        <v>6</v>
      </c>
      <c r="D27" s="8" t="s">
        <v>374</v>
      </c>
      <c r="E27" s="8" t="s">
        <v>382</v>
      </c>
      <c r="F27" s="12" t="s">
        <v>8</v>
      </c>
      <c r="G27" s="8" t="s">
        <v>383</v>
      </c>
      <c r="H27" s="11" t="s">
        <v>14</v>
      </c>
      <c r="I27" s="8" t="s">
        <v>384</v>
      </c>
      <c r="J27" s="8" t="s">
        <v>385</v>
      </c>
      <c r="K27" s="8" t="s">
        <v>52</v>
      </c>
      <c r="L27" s="8" t="s">
        <v>154</v>
      </c>
      <c r="M27" s="8" t="s">
        <v>63</v>
      </c>
      <c r="N27" s="8" t="s">
        <v>21</v>
      </c>
      <c r="O27" s="8" t="s">
        <v>112</v>
      </c>
    </row>
    <row r="28" customFormat="false" ht="79.85" hidden="false" customHeight="false" outlineLevel="0" collapsed="false">
      <c r="A28" s="8" t="s">
        <v>386</v>
      </c>
      <c r="B28" s="8" t="s">
        <v>46</v>
      </c>
      <c r="C28" s="15" t="s">
        <v>6</v>
      </c>
      <c r="D28" s="8" t="s">
        <v>374</v>
      </c>
      <c r="E28" s="8" t="s">
        <v>387</v>
      </c>
      <c r="F28" s="12" t="s">
        <v>8</v>
      </c>
      <c r="G28" s="8" t="s">
        <v>388</v>
      </c>
      <c r="H28" s="11" t="s">
        <v>14</v>
      </c>
      <c r="I28" s="8" t="s">
        <v>389</v>
      </c>
      <c r="J28" s="8" t="s">
        <v>390</v>
      </c>
      <c r="K28" s="8" t="s">
        <v>52</v>
      </c>
      <c r="L28" s="8" t="s">
        <v>391</v>
      </c>
      <c r="M28" s="8" t="s">
        <v>63</v>
      </c>
      <c r="N28" s="8" t="s">
        <v>21</v>
      </c>
      <c r="O28" s="8" t="s">
        <v>392</v>
      </c>
    </row>
    <row r="29" customFormat="false" ht="57.45" hidden="false" customHeight="false" outlineLevel="0" collapsed="false">
      <c r="A29" s="8" t="s">
        <v>412</v>
      </c>
      <c r="B29" s="8" t="s">
        <v>46</v>
      </c>
      <c r="C29" s="16" t="s">
        <v>7</v>
      </c>
      <c r="D29" s="8" t="s">
        <v>374</v>
      </c>
      <c r="E29" s="8" t="s">
        <v>413</v>
      </c>
      <c r="F29" s="12" t="s">
        <v>8</v>
      </c>
      <c r="G29" s="8" t="s">
        <v>414</v>
      </c>
      <c r="H29" s="13" t="s">
        <v>15</v>
      </c>
      <c r="I29" s="8" t="s">
        <v>415</v>
      </c>
      <c r="J29" s="8" t="s">
        <v>416</v>
      </c>
      <c r="K29" s="8" t="s">
        <v>78</v>
      </c>
      <c r="L29" s="8" t="s">
        <v>417</v>
      </c>
      <c r="M29" s="8" t="s">
        <v>63</v>
      </c>
      <c r="N29" s="8" t="s">
        <v>21</v>
      </c>
      <c r="O29" s="8" t="s">
        <v>418</v>
      </c>
    </row>
    <row r="30" customFormat="false" ht="46.25" hidden="false" customHeight="false" outlineLevel="0" collapsed="false">
      <c r="A30" s="8" t="s">
        <v>448</v>
      </c>
      <c r="B30" s="8" t="s">
        <v>46</v>
      </c>
      <c r="C30" s="15" t="s">
        <v>6</v>
      </c>
      <c r="D30" s="8" t="s">
        <v>420</v>
      </c>
      <c r="E30" s="8" t="s">
        <v>449</v>
      </c>
      <c r="F30" s="12" t="s">
        <v>8</v>
      </c>
      <c r="G30" s="8" t="s">
        <v>450</v>
      </c>
      <c r="H30" s="12" t="s">
        <v>16</v>
      </c>
      <c r="I30" s="8" t="s">
        <v>451</v>
      </c>
      <c r="J30" s="8" t="s">
        <v>452</v>
      </c>
      <c r="K30" s="8" t="s">
        <v>52</v>
      </c>
      <c r="L30" s="8" t="s">
        <v>453</v>
      </c>
      <c r="M30" s="8" t="s">
        <v>350</v>
      </c>
      <c r="N30" s="8" t="s">
        <v>21</v>
      </c>
      <c r="O30" s="8" t="s">
        <v>454</v>
      </c>
    </row>
    <row r="31" customFormat="false" ht="68.65" hidden="false" customHeight="false" outlineLevel="0" collapsed="false">
      <c r="A31" s="8" t="s">
        <v>478</v>
      </c>
      <c r="B31" s="8" t="s">
        <v>46</v>
      </c>
      <c r="C31" s="14" t="s">
        <v>5</v>
      </c>
      <c r="D31" s="8" t="s">
        <v>471</v>
      </c>
      <c r="E31" s="8" t="s">
        <v>479</v>
      </c>
      <c r="F31" s="12" t="s">
        <v>8</v>
      </c>
      <c r="G31" s="8" t="s">
        <v>480</v>
      </c>
      <c r="H31" s="12" t="s">
        <v>16</v>
      </c>
      <c r="I31" s="8" t="s">
        <v>481</v>
      </c>
      <c r="J31" s="8" t="s">
        <v>482</v>
      </c>
      <c r="K31" s="8" t="s">
        <v>78</v>
      </c>
      <c r="L31" s="8" t="s">
        <v>483</v>
      </c>
      <c r="M31" s="8" t="s">
        <v>343</v>
      </c>
      <c r="N31" s="8" t="s">
        <v>21</v>
      </c>
      <c r="O31" s="8" t="s">
        <v>484</v>
      </c>
    </row>
    <row r="32" customFormat="false" ht="68.65" hidden="false" customHeight="false" outlineLevel="0" collapsed="false">
      <c r="A32" s="8" t="s">
        <v>485</v>
      </c>
      <c r="B32" s="8" t="s">
        <v>46</v>
      </c>
      <c r="C32" s="15" t="s">
        <v>6</v>
      </c>
      <c r="D32" s="8" t="s">
        <v>471</v>
      </c>
      <c r="E32" s="8" t="s">
        <v>486</v>
      </c>
      <c r="F32" s="12" t="s">
        <v>8</v>
      </c>
      <c r="G32" s="8" t="s">
        <v>487</v>
      </c>
      <c r="H32" s="13" t="s">
        <v>15</v>
      </c>
      <c r="I32" s="8" t="s">
        <v>488</v>
      </c>
      <c r="J32" s="8" t="s">
        <v>489</v>
      </c>
      <c r="K32" s="8" t="s">
        <v>52</v>
      </c>
      <c r="L32" s="8" t="s">
        <v>490</v>
      </c>
      <c r="M32" s="8" t="s">
        <v>63</v>
      </c>
      <c r="N32" s="8" t="s">
        <v>21</v>
      </c>
      <c r="O32" s="8" t="s">
        <v>491</v>
      </c>
    </row>
    <row r="33" customFormat="false" ht="57.45" hidden="false" customHeight="false" outlineLevel="0" collapsed="false">
      <c r="A33" s="8" t="s">
        <v>505</v>
      </c>
      <c r="B33" s="8" t="s">
        <v>46</v>
      </c>
      <c r="C33" s="16" t="s">
        <v>7</v>
      </c>
      <c r="D33" s="8" t="s">
        <v>471</v>
      </c>
      <c r="E33" s="8" t="s">
        <v>506</v>
      </c>
      <c r="F33" s="12" t="s">
        <v>8</v>
      </c>
      <c r="G33" s="8" t="s">
        <v>507</v>
      </c>
      <c r="H33" s="11" t="s">
        <v>14</v>
      </c>
      <c r="I33" s="8" t="s">
        <v>508</v>
      </c>
      <c r="J33" s="8" t="s">
        <v>509</v>
      </c>
      <c r="K33" s="8" t="s">
        <v>52</v>
      </c>
      <c r="L33" s="8" t="s">
        <v>154</v>
      </c>
      <c r="M33" s="8" t="s">
        <v>63</v>
      </c>
      <c r="N33" s="8" t="s">
        <v>21</v>
      </c>
      <c r="O33" s="8" t="s">
        <v>510</v>
      </c>
    </row>
    <row r="34" customFormat="false" ht="46.25" hidden="false" customHeight="false" outlineLevel="0" collapsed="false">
      <c r="A34" s="8" t="s">
        <v>511</v>
      </c>
      <c r="B34" s="8" t="s">
        <v>46</v>
      </c>
      <c r="C34" s="9" t="s">
        <v>4</v>
      </c>
      <c r="D34" s="8" t="s">
        <v>512</v>
      </c>
      <c r="E34" s="8" t="s">
        <v>513</v>
      </c>
      <c r="F34" s="12" t="s">
        <v>8</v>
      </c>
      <c r="G34" s="8" t="s">
        <v>514</v>
      </c>
      <c r="H34" s="11" t="s">
        <v>14</v>
      </c>
      <c r="I34" s="8" t="s">
        <v>515</v>
      </c>
      <c r="J34" s="8" t="s">
        <v>516</v>
      </c>
      <c r="K34" s="8" t="s">
        <v>52</v>
      </c>
      <c r="L34" s="8" t="s">
        <v>154</v>
      </c>
      <c r="M34" s="8" t="s">
        <v>63</v>
      </c>
      <c r="N34" s="8" t="s">
        <v>21</v>
      </c>
      <c r="O34" s="8" t="s">
        <v>112</v>
      </c>
    </row>
    <row r="35" customFormat="false" ht="46.25" hidden="false" customHeight="false" outlineLevel="0" collapsed="false">
      <c r="A35" s="8" t="s">
        <v>517</v>
      </c>
      <c r="B35" s="8" t="s">
        <v>46</v>
      </c>
      <c r="C35" s="9" t="s">
        <v>4</v>
      </c>
      <c r="D35" s="8" t="s">
        <v>518</v>
      </c>
      <c r="E35" s="8" t="s">
        <v>519</v>
      </c>
      <c r="F35" s="12" t="s">
        <v>8</v>
      </c>
      <c r="G35" s="8" t="s">
        <v>520</v>
      </c>
      <c r="H35" s="13" t="s">
        <v>15</v>
      </c>
      <c r="I35" s="8" t="s">
        <v>521</v>
      </c>
      <c r="J35" s="8" t="s">
        <v>522</v>
      </c>
      <c r="K35" s="8" t="s">
        <v>78</v>
      </c>
      <c r="L35" s="8" t="s">
        <v>523</v>
      </c>
      <c r="M35" s="8" t="s">
        <v>63</v>
      </c>
      <c r="N35" s="8" t="s">
        <v>21</v>
      </c>
      <c r="O35" s="8" t="s">
        <v>112</v>
      </c>
    </row>
    <row r="36" customFormat="false" ht="68.65" hidden="false" customHeight="false" outlineLevel="0" collapsed="false">
      <c r="A36" s="8" t="s">
        <v>524</v>
      </c>
      <c r="B36" s="8" t="s">
        <v>46</v>
      </c>
      <c r="C36" s="14" t="s">
        <v>5</v>
      </c>
      <c r="D36" s="8" t="s">
        <v>512</v>
      </c>
      <c r="E36" s="8" t="s">
        <v>525</v>
      </c>
      <c r="F36" s="12" t="s">
        <v>8</v>
      </c>
      <c r="G36" s="8" t="s">
        <v>526</v>
      </c>
      <c r="H36" s="13" t="s">
        <v>15</v>
      </c>
      <c r="I36" s="8" t="s">
        <v>527</v>
      </c>
      <c r="J36" s="8" t="s">
        <v>528</v>
      </c>
      <c r="K36" s="8" t="s">
        <v>52</v>
      </c>
      <c r="L36" s="8" t="s">
        <v>529</v>
      </c>
      <c r="M36" s="8" t="s">
        <v>63</v>
      </c>
      <c r="N36" s="8" t="s">
        <v>21</v>
      </c>
      <c r="O36" s="8" t="s">
        <v>112</v>
      </c>
    </row>
    <row r="37" customFormat="false" ht="57.45" hidden="false" customHeight="false" outlineLevel="0" collapsed="false">
      <c r="A37" s="8" t="s">
        <v>537</v>
      </c>
      <c r="B37" s="8" t="s">
        <v>46</v>
      </c>
      <c r="C37" s="14" t="s">
        <v>5</v>
      </c>
      <c r="D37" s="8" t="s">
        <v>512</v>
      </c>
      <c r="E37" s="8" t="s">
        <v>538</v>
      </c>
      <c r="F37" s="12" t="s">
        <v>8</v>
      </c>
      <c r="G37" s="8" t="s">
        <v>539</v>
      </c>
      <c r="H37" s="11" t="s">
        <v>14</v>
      </c>
      <c r="I37" s="8" t="s">
        <v>540</v>
      </c>
      <c r="J37" s="8" t="s">
        <v>541</v>
      </c>
      <c r="K37" s="8" t="s">
        <v>78</v>
      </c>
      <c r="L37" s="8" t="s">
        <v>542</v>
      </c>
      <c r="M37" s="8" t="s">
        <v>63</v>
      </c>
      <c r="N37" s="8" t="s">
        <v>21</v>
      </c>
      <c r="O37" s="8" t="s">
        <v>543</v>
      </c>
    </row>
    <row r="38" customFormat="false" ht="68.65" hidden="false" customHeight="false" outlineLevel="0" collapsed="false">
      <c r="A38" s="8" t="s">
        <v>544</v>
      </c>
      <c r="B38" s="8" t="s">
        <v>46</v>
      </c>
      <c r="C38" s="14" t="s">
        <v>5</v>
      </c>
      <c r="D38" s="8" t="s">
        <v>518</v>
      </c>
      <c r="E38" s="8" t="s">
        <v>545</v>
      </c>
      <c r="F38" s="12" t="s">
        <v>8</v>
      </c>
      <c r="G38" s="8" t="s">
        <v>546</v>
      </c>
      <c r="H38" s="13" t="s">
        <v>15</v>
      </c>
      <c r="I38" s="8" t="s">
        <v>547</v>
      </c>
      <c r="J38" s="8" t="s">
        <v>548</v>
      </c>
      <c r="K38" s="8" t="s">
        <v>78</v>
      </c>
      <c r="L38" s="8" t="s">
        <v>549</v>
      </c>
      <c r="M38" s="8" t="s">
        <v>63</v>
      </c>
      <c r="N38" s="8" t="s">
        <v>21</v>
      </c>
      <c r="O38" s="8" t="s">
        <v>550</v>
      </c>
    </row>
    <row r="39" customFormat="false" ht="68.65" hidden="false" customHeight="false" outlineLevel="0" collapsed="false">
      <c r="A39" s="8" t="s">
        <v>551</v>
      </c>
      <c r="B39" s="8" t="s">
        <v>46</v>
      </c>
      <c r="C39" s="14" t="s">
        <v>5</v>
      </c>
      <c r="D39" s="8" t="s">
        <v>552</v>
      </c>
      <c r="E39" s="8" t="s">
        <v>553</v>
      </c>
      <c r="F39" s="12" t="s">
        <v>8</v>
      </c>
      <c r="G39" s="8" t="s">
        <v>554</v>
      </c>
      <c r="H39" s="13" t="s">
        <v>15</v>
      </c>
      <c r="I39" s="8" t="s">
        <v>555</v>
      </c>
      <c r="J39" s="8" t="s">
        <v>556</v>
      </c>
      <c r="K39" s="8" t="s">
        <v>78</v>
      </c>
      <c r="L39" s="8" t="s">
        <v>557</v>
      </c>
      <c r="M39" s="8" t="s">
        <v>63</v>
      </c>
      <c r="N39" s="8" t="s">
        <v>21</v>
      </c>
      <c r="O39" s="8" t="s">
        <v>558</v>
      </c>
    </row>
    <row r="40" customFormat="false" ht="57.45" hidden="false" customHeight="false" outlineLevel="0" collapsed="false">
      <c r="A40" s="8" t="s">
        <v>559</v>
      </c>
      <c r="B40" s="8" t="s">
        <v>46</v>
      </c>
      <c r="C40" s="15" t="s">
        <v>6</v>
      </c>
      <c r="D40" s="8" t="s">
        <v>560</v>
      </c>
      <c r="E40" s="8" t="s">
        <v>561</v>
      </c>
      <c r="F40" s="12" t="s">
        <v>8</v>
      </c>
      <c r="G40" s="8" t="s">
        <v>562</v>
      </c>
      <c r="H40" s="13" t="s">
        <v>15</v>
      </c>
      <c r="I40" s="8" t="s">
        <v>563</v>
      </c>
      <c r="J40" s="8" t="s">
        <v>564</v>
      </c>
      <c r="K40" s="8" t="s">
        <v>78</v>
      </c>
      <c r="L40" s="8" t="s">
        <v>154</v>
      </c>
      <c r="M40" s="8" t="s">
        <v>63</v>
      </c>
      <c r="N40" s="8" t="s">
        <v>21</v>
      </c>
      <c r="O40" s="8" t="s">
        <v>112</v>
      </c>
    </row>
    <row r="41" customFormat="false" ht="68.65" hidden="false" customHeight="false" outlineLevel="0" collapsed="false">
      <c r="A41" s="8" t="s">
        <v>565</v>
      </c>
      <c r="B41" s="8" t="s">
        <v>46</v>
      </c>
      <c r="C41" s="15" t="s">
        <v>6</v>
      </c>
      <c r="D41" s="8" t="s">
        <v>566</v>
      </c>
      <c r="E41" s="8" t="s">
        <v>567</v>
      </c>
      <c r="F41" s="12" t="s">
        <v>8</v>
      </c>
      <c r="G41" s="8" t="s">
        <v>568</v>
      </c>
      <c r="H41" s="13" t="s">
        <v>15</v>
      </c>
      <c r="I41" s="8" t="s">
        <v>569</v>
      </c>
      <c r="J41" s="8" t="s">
        <v>570</v>
      </c>
      <c r="K41" s="8" t="s">
        <v>78</v>
      </c>
      <c r="L41" s="8" t="s">
        <v>571</v>
      </c>
      <c r="M41" s="8" t="s">
        <v>288</v>
      </c>
      <c r="N41" s="8" t="s">
        <v>21</v>
      </c>
      <c r="O41" s="8" t="s">
        <v>572</v>
      </c>
    </row>
    <row r="42" customFormat="false" ht="68.65" hidden="false" customHeight="false" outlineLevel="0" collapsed="false">
      <c r="A42" s="8" t="s">
        <v>573</v>
      </c>
      <c r="B42" s="8" t="s">
        <v>46</v>
      </c>
      <c r="C42" s="9" t="s">
        <v>4</v>
      </c>
      <c r="D42" s="8" t="s">
        <v>574</v>
      </c>
      <c r="E42" s="8" t="s">
        <v>575</v>
      </c>
      <c r="F42" s="12" t="s">
        <v>8</v>
      </c>
      <c r="G42" s="8" t="s">
        <v>576</v>
      </c>
      <c r="H42" s="11" t="s">
        <v>14</v>
      </c>
      <c r="I42" s="8" t="s">
        <v>577</v>
      </c>
      <c r="J42" s="8" t="s">
        <v>578</v>
      </c>
      <c r="K42" s="8" t="s">
        <v>52</v>
      </c>
      <c r="L42" s="8" t="s">
        <v>579</v>
      </c>
      <c r="M42" s="8" t="s">
        <v>288</v>
      </c>
      <c r="N42" s="8" t="s">
        <v>21</v>
      </c>
      <c r="O42" s="8" t="s">
        <v>580</v>
      </c>
    </row>
    <row r="43" customFormat="false" ht="57.45" hidden="false" customHeight="false" outlineLevel="0" collapsed="false">
      <c r="A43" s="8" t="s">
        <v>607</v>
      </c>
      <c r="B43" s="8" t="s">
        <v>46</v>
      </c>
      <c r="C43" s="15" t="s">
        <v>6</v>
      </c>
      <c r="D43" s="8" t="s">
        <v>574</v>
      </c>
      <c r="E43" s="8" t="s">
        <v>608</v>
      </c>
      <c r="F43" s="12" t="s">
        <v>8</v>
      </c>
      <c r="G43" s="8" t="s">
        <v>609</v>
      </c>
      <c r="H43" s="13" t="s">
        <v>15</v>
      </c>
      <c r="I43" s="8" t="s">
        <v>610</v>
      </c>
      <c r="J43" s="8" t="s">
        <v>173</v>
      </c>
      <c r="K43" s="8" t="s">
        <v>78</v>
      </c>
      <c r="L43" s="8" t="s">
        <v>611</v>
      </c>
      <c r="M43" s="8" t="s">
        <v>288</v>
      </c>
      <c r="N43" s="8" t="s">
        <v>21</v>
      </c>
      <c r="O43" s="8" t="s">
        <v>112</v>
      </c>
    </row>
    <row r="44" customFormat="false" ht="68.65" hidden="false" customHeight="false" outlineLevel="0" collapsed="false">
      <c r="A44" s="8" t="s">
        <v>640</v>
      </c>
      <c r="B44" s="8" t="s">
        <v>46</v>
      </c>
      <c r="C44" s="14" t="s">
        <v>5</v>
      </c>
      <c r="D44" s="8" t="s">
        <v>574</v>
      </c>
      <c r="E44" s="8" t="s">
        <v>641</v>
      </c>
      <c r="F44" s="12" t="s">
        <v>8</v>
      </c>
      <c r="G44" s="8" t="s">
        <v>642</v>
      </c>
      <c r="H44" s="8" t="s">
        <v>12</v>
      </c>
      <c r="I44" s="8" t="s">
        <v>643</v>
      </c>
      <c r="J44" s="8" t="s">
        <v>644</v>
      </c>
      <c r="K44" s="8" t="s">
        <v>78</v>
      </c>
      <c r="L44" s="8" t="s">
        <v>645</v>
      </c>
      <c r="M44" s="8" t="s">
        <v>343</v>
      </c>
      <c r="N44" s="8" t="s">
        <v>21</v>
      </c>
      <c r="O44" s="8" t="s">
        <v>646</v>
      </c>
    </row>
    <row r="45" customFormat="false" ht="57.45" hidden="false" customHeight="false" outlineLevel="0" collapsed="false">
      <c r="A45" s="8" t="s">
        <v>692</v>
      </c>
      <c r="B45" s="8" t="s">
        <v>678</v>
      </c>
      <c r="C45" s="15" t="s">
        <v>6</v>
      </c>
      <c r="D45" s="8" t="s">
        <v>679</v>
      </c>
      <c r="E45" s="8" t="s">
        <v>693</v>
      </c>
      <c r="F45" s="12" t="s">
        <v>8</v>
      </c>
      <c r="G45" s="8" t="s">
        <v>694</v>
      </c>
      <c r="H45" s="8" t="s">
        <v>17</v>
      </c>
      <c r="I45" s="8" t="s">
        <v>682</v>
      </c>
      <c r="J45" s="8" t="s">
        <v>173</v>
      </c>
      <c r="K45" s="8" t="s">
        <v>78</v>
      </c>
      <c r="L45" s="8" t="s">
        <v>695</v>
      </c>
      <c r="M45" s="8" t="s">
        <v>343</v>
      </c>
      <c r="N45" s="8" t="s">
        <v>21</v>
      </c>
      <c r="O45" s="8" t="s">
        <v>696</v>
      </c>
    </row>
    <row r="46" customFormat="false" ht="57.45" hidden="false" customHeight="false" outlineLevel="0" collapsed="false">
      <c r="A46" s="8" t="s">
        <v>702</v>
      </c>
      <c r="B46" s="8" t="s">
        <v>678</v>
      </c>
      <c r="C46" s="15" t="s">
        <v>6</v>
      </c>
      <c r="D46" s="8" t="s">
        <v>679</v>
      </c>
      <c r="E46" s="8" t="s">
        <v>703</v>
      </c>
      <c r="F46" s="12" t="s">
        <v>8</v>
      </c>
      <c r="G46" s="8" t="s">
        <v>704</v>
      </c>
      <c r="H46" s="8" t="s">
        <v>12</v>
      </c>
      <c r="I46" s="8" t="s">
        <v>705</v>
      </c>
      <c r="J46" s="8" t="s">
        <v>706</v>
      </c>
      <c r="K46" s="8" t="s">
        <v>52</v>
      </c>
      <c r="L46" s="8" t="s">
        <v>707</v>
      </c>
      <c r="M46" s="8" t="s">
        <v>343</v>
      </c>
      <c r="N46" s="8" t="s">
        <v>21</v>
      </c>
      <c r="O46" s="8" t="s">
        <v>112</v>
      </c>
    </row>
    <row r="47" customFormat="false" ht="46.25" hidden="false" customHeight="false" outlineLevel="0" collapsed="false">
      <c r="A47" s="8" t="s">
        <v>708</v>
      </c>
      <c r="B47" s="8" t="s">
        <v>678</v>
      </c>
      <c r="C47" s="15" t="s">
        <v>6</v>
      </c>
      <c r="D47" s="8" t="s">
        <v>679</v>
      </c>
      <c r="E47" s="8" t="s">
        <v>709</v>
      </c>
      <c r="F47" s="12" t="s">
        <v>8</v>
      </c>
      <c r="G47" s="8" t="s">
        <v>710</v>
      </c>
      <c r="H47" s="8" t="s">
        <v>12</v>
      </c>
      <c r="I47" s="8" t="s">
        <v>711</v>
      </c>
      <c r="J47" s="8" t="s">
        <v>712</v>
      </c>
      <c r="K47" s="8" t="s">
        <v>52</v>
      </c>
      <c r="L47" s="8" t="s">
        <v>154</v>
      </c>
      <c r="M47" s="8" t="s">
        <v>343</v>
      </c>
      <c r="N47" s="8" t="s">
        <v>21</v>
      </c>
      <c r="O47" s="8" t="s">
        <v>112</v>
      </c>
    </row>
    <row r="48" customFormat="false" ht="46.25" hidden="false" customHeight="false" outlineLevel="0" collapsed="false">
      <c r="A48" s="8" t="s">
        <v>713</v>
      </c>
      <c r="B48" s="8" t="s">
        <v>678</v>
      </c>
      <c r="C48" s="16" t="s">
        <v>7</v>
      </c>
      <c r="D48" s="8" t="s">
        <v>679</v>
      </c>
      <c r="E48" s="8" t="s">
        <v>714</v>
      </c>
      <c r="F48" s="12" t="s">
        <v>8</v>
      </c>
      <c r="G48" s="8" t="s">
        <v>715</v>
      </c>
      <c r="H48" s="8" t="s">
        <v>17</v>
      </c>
      <c r="I48" s="8" t="s">
        <v>682</v>
      </c>
      <c r="J48" s="8" t="s">
        <v>173</v>
      </c>
      <c r="K48" s="8" t="s">
        <v>78</v>
      </c>
      <c r="L48" s="8" t="s">
        <v>154</v>
      </c>
      <c r="M48" s="8" t="s">
        <v>343</v>
      </c>
      <c r="N48" s="8" t="s">
        <v>21</v>
      </c>
      <c r="O48" s="8" t="s">
        <v>112</v>
      </c>
    </row>
    <row r="49" customFormat="false" ht="46.25" hidden="false" customHeight="false" outlineLevel="0" collapsed="false">
      <c r="A49" s="8" t="s">
        <v>721</v>
      </c>
      <c r="B49" s="8" t="s">
        <v>678</v>
      </c>
      <c r="C49" s="15" t="s">
        <v>6</v>
      </c>
      <c r="D49" s="8" t="s">
        <v>722</v>
      </c>
      <c r="E49" s="8" t="s">
        <v>723</v>
      </c>
      <c r="F49" s="12" t="s">
        <v>8</v>
      </c>
      <c r="G49" s="8" t="s">
        <v>724</v>
      </c>
      <c r="H49" s="8" t="s">
        <v>17</v>
      </c>
      <c r="I49" s="8" t="s">
        <v>682</v>
      </c>
      <c r="J49" s="8" t="s">
        <v>725</v>
      </c>
      <c r="K49" s="8" t="s">
        <v>52</v>
      </c>
      <c r="L49" s="8" t="s">
        <v>726</v>
      </c>
      <c r="M49" s="8" t="s">
        <v>350</v>
      </c>
      <c r="N49" s="8" t="s">
        <v>21</v>
      </c>
      <c r="O49" s="8" t="s">
        <v>112</v>
      </c>
    </row>
    <row r="50" customFormat="false" ht="46.25" hidden="false" customHeight="false" outlineLevel="0" collapsed="false">
      <c r="A50" s="8" t="s">
        <v>736</v>
      </c>
      <c r="B50" s="8" t="s">
        <v>678</v>
      </c>
      <c r="C50" s="14" t="s">
        <v>5</v>
      </c>
      <c r="D50" s="8" t="s">
        <v>679</v>
      </c>
      <c r="E50" s="8" t="s">
        <v>737</v>
      </c>
      <c r="F50" s="12" t="s">
        <v>8</v>
      </c>
      <c r="G50" s="8" t="s">
        <v>738</v>
      </c>
      <c r="H50" s="8" t="s">
        <v>17</v>
      </c>
      <c r="I50" s="8" t="s">
        <v>682</v>
      </c>
      <c r="J50" s="8" t="s">
        <v>739</v>
      </c>
      <c r="K50" s="8" t="s">
        <v>52</v>
      </c>
      <c r="L50" s="8" t="s">
        <v>154</v>
      </c>
      <c r="M50" s="8" t="s">
        <v>343</v>
      </c>
      <c r="N50" s="8" t="s">
        <v>21</v>
      </c>
      <c r="O50" s="8" t="s">
        <v>740</v>
      </c>
    </row>
    <row r="51" customFormat="false" ht="68.65" hidden="false" customHeight="false" outlineLevel="0" collapsed="false">
      <c r="A51" s="8" t="s">
        <v>757</v>
      </c>
      <c r="B51" s="8" t="s">
        <v>678</v>
      </c>
      <c r="C51" s="14" t="s">
        <v>5</v>
      </c>
      <c r="D51" s="8" t="s">
        <v>722</v>
      </c>
      <c r="E51" s="8" t="s">
        <v>758</v>
      </c>
      <c r="F51" s="12" t="s">
        <v>8</v>
      </c>
      <c r="G51" s="8" t="s">
        <v>759</v>
      </c>
      <c r="H51" s="8" t="s">
        <v>17</v>
      </c>
      <c r="I51" s="8" t="s">
        <v>682</v>
      </c>
      <c r="J51" s="8" t="s">
        <v>760</v>
      </c>
      <c r="K51" s="8" t="s">
        <v>52</v>
      </c>
      <c r="L51" s="8" t="s">
        <v>761</v>
      </c>
      <c r="M51" s="8" t="s">
        <v>350</v>
      </c>
      <c r="N51" s="8" t="s">
        <v>21</v>
      </c>
      <c r="O51" s="8" t="s">
        <v>112</v>
      </c>
    </row>
    <row r="52" customFormat="false" ht="46.25" hidden="false" customHeight="false" outlineLevel="0" collapsed="false">
      <c r="A52" s="8" t="s">
        <v>762</v>
      </c>
      <c r="B52" s="8" t="s">
        <v>678</v>
      </c>
      <c r="C52" s="15" t="s">
        <v>6</v>
      </c>
      <c r="D52" s="8" t="s">
        <v>722</v>
      </c>
      <c r="E52" s="8" t="s">
        <v>763</v>
      </c>
      <c r="F52" s="12" t="s">
        <v>8</v>
      </c>
      <c r="G52" s="8" t="s">
        <v>764</v>
      </c>
      <c r="H52" s="8" t="s">
        <v>17</v>
      </c>
      <c r="I52" s="8" t="s">
        <v>682</v>
      </c>
      <c r="J52" s="8" t="s">
        <v>765</v>
      </c>
      <c r="K52" s="8" t="s">
        <v>52</v>
      </c>
      <c r="L52" s="8" t="s">
        <v>766</v>
      </c>
      <c r="M52" s="8" t="s">
        <v>350</v>
      </c>
      <c r="N52" s="8" t="s">
        <v>21</v>
      </c>
      <c r="O52" s="8" t="s">
        <v>112</v>
      </c>
    </row>
    <row r="53" customFormat="false" ht="35.05" hidden="false" customHeight="false" outlineLevel="0" collapsed="false">
      <c r="A53" s="8" t="s">
        <v>767</v>
      </c>
      <c r="B53" s="8" t="s">
        <v>678</v>
      </c>
      <c r="C53" s="15" t="s">
        <v>6</v>
      </c>
      <c r="D53" s="8" t="s">
        <v>722</v>
      </c>
      <c r="E53" s="8" t="s">
        <v>768</v>
      </c>
      <c r="F53" s="12" t="s">
        <v>8</v>
      </c>
      <c r="G53" s="8" t="s">
        <v>769</v>
      </c>
      <c r="H53" s="8" t="s">
        <v>17</v>
      </c>
      <c r="I53" s="8" t="s">
        <v>682</v>
      </c>
      <c r="J53" s="8" t="s">
        <v>770</v>
      </c>
      <c r="K53" s="8" t="s">
        <v>52</v>
      </c>
      <c r="L53" s="8" t="s">
        <v>771</v>
      </c>
      <c r="M53" s="8" t="s">
        <v>350</v>
      </c>
      <c r="N53" s="8" t="s">
        <v>21</v>
      </c>
      <c r="O53" s="8" t="s">
        <v>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10"/>
    <col collapsed="false" customWidth="true" hidden="false" outlineLevel="0" max="4" min="4" style="0" width="18"/>
    <col collapsed="false" customWidth="true" hidden="false" outlineLevel="0" max="5" min="5" style="0" width="50"/>
    <col collapsed="false" customWidth="true" hidden="false" outlineLevel="0" max="6" min="6" style="0" width="14"/>
    <col collapsed="false" customWidth="true" hidden="false" outlineLevel="0" max="7" min="7" style="0" width="50"/>
    <col collapsed="false" customWidth="true" hidden="false" outlineLevel="0" max="8" min="8" style="0" width="16"/>
    <col collapsed="false" customWidth="true" hidden="false" outlineLevel="0" max="9" min="9" style="0" width="45"/>
    <col collapsed="false" customWidth="true" hidden="false" outlineLevel="0" max="10" min="10" style="0" width="50"/>
    <col collapsed="false" customWidth="true" hidden="false" outlineLevel="0" max="11" min="11" style="0" width="10"/>
    <col collapsed="false" customWidth="true" hidden="false" outlineLevel="0" max="12" min="12" style="0" width="50"/>
    <col collapsed="false" customWidth="true" hidden="false" outlineLevel="0" max="13" min="13" style="0" width="22"/>
    <col collapsed="false" customWidth="true" hidden="false" outlineLevel="0" max="14" min="14" style="0" width="18"/>
    <col collapsed="false" customWidth="true" hidden="false" outlineLevel="0" max="15" min="15" style="0" width="45"/>
  </cols>
  <sheetData>
    <row r="1" customFormat="false" ht="17.35" hidden="false" customHeight="false" outlineLevel="0" collapsed="false">
      <c r="A1" s="1" t="s">
        <v>780</v>
      </c>
    </row>
    <row r="2" customFormat="false" ht="15" hidden="false" customHeight="false" outlineLevel="0" collapsed="false">
      <c r="A2" s="6" t="s">
        <v>781</v>
      </c>
    </row>
    <row r="4" customFormat="false" ht="35.05" hidden="false" customHeight="false" outlineLevel="0" collapsed="false">
      <c r="A4" s="7" t="s">
        <v>31</v>
      </c>
      <c r="B4" s="7" t="s">
        <v>32</v>
      </c>
      <c r="C4" s="7" t="s">
        <v>33</v>
      </c>
      <c r="D4" s="7" t="s">
        <v>34</v>
      </c>
      <c r="E4" s="7" t="s">
        <v>35</v>
      </c>
      <c r="F4" s="7" t="s">
        <v>36</v>
      </c>
      <c r="G4" s="7" t="s">
        <v>37</v>
      </c>
      <c r="H4" s="7" t="s">
        <v>38</v>
      </c>
      <c r="I4" s="7" t="s">
        <v>39</v>
      </c>
      <c r="J4" s="7" t="s">
        <v>40</v>
      </c>
      <c r="K4" s="7" t="s">
        <v>41</v>
      </c>
      <c r="L4" s="7" t="s">
        <v>42</v>
      </c>
      <c r="M4" s="7" t="s">
        <v>43</v>
      </c>
      <c r="N4" s="7" t="s">
        <v>18</v>
      </c>
      <c r="O4" s="7" t="s">
        <v>44</v>
      </c>
    </row>
    <row r="5" customFormat="false" ht="91" hidden="false" customHeight="false" outlineLevel="0" collapsed="false">
      <c r="A5" s="8" t="s">
        <v>45</v>
      </c>
      <c r="B5" s="8" t="s">
        <v>46</v>
      </c>
      <c r="C5" s="9" t="s">
        <v>4</v>
      </c>
      <c r="D5" s="8" t="s">
        <v>47</v>
      </c>
      <c r="E5" s="8" t="s">
        <v>48</v>
      </c>
      <c r="F5" s="10" t="s">
        <v>9</v>
      </c>
      <c r="G5" s="8" t="s">
        <v>49</v>
      </c>
      <c r="H5" s="11" t="s">
        <v>14</v>
      </c>
      <c r="I5" s="8" t="s">
        <v>50</v>
      </c>
      <c r="J5" s="8" t="s">
        <v>51</v>
      </c>
      <c r="K5" s="8" t="s">
        <v>52</v>
      </c>
      <c r="L5" s="8" t="s">
        <v>53</v>
      </c>
      <c r="M5" s="8" t="s">
        <v>54</v>
      </c>
      <c r="N5" s="8" t="s">
        <v>22</v>
      </c>
      <c r="O5" s="8" t="s">
        <v>55</v>
      </c>
    </row>
    <row r="6" customFormat="false" ht="68.65" hidden="false" customHeight="false" outlineLevel="0" collapsed="false">
      <c r="A6" s="8" t="s">
        <v>56</v>
      </c>
      <c r="B6" s="8" t="s">
        <v>46</v>
      </c>
      <c r="C6" s="9" t="s">
        <v>4</v>
      </c>
      <c r="D6" s="8" t="s">
        <v>57</v>
      </c>
      <c r="E6" s="8" t="s">
        <v>58</v>
      </c>
      <c r="F6" s="12" t="s">
        <v>8</v>
      </c>
      <c r="G6" s="8" t="s">
        <v>59</v>
      </c>
      <c r="H6" s="11" t="s">
        <v>14</v>
      </c>
      <c r="I6" s="8" t="s">
        <v>60</v>
      </c>
      <c r="J6" s="8" t="s">
        <v>61</v>
      </c>
      <c r="K6" s="8" t="s">
        <v>52</v>
      </c>
      <c r="L6" s="8" t="s">
        <v>62</v>
      </c>
      <c r="M6" s="8" t="s">
        <v>63</v>
      </c>
      <c r="N6" s="8" t="s">
        <v>21</v>
      </c>
      <c r="O6" s="8" t="s">
        <v>64</v>
      </c>
    </row>
    <row r="7" customFormat="false" ht="79.85" hidden="false" customHeight="false" outlineLevel="0" collapsed="false">
      <c r="A7" s="8" t="s">
        <v>65</v>
      </c>
      <c r="B7" s="8" t="s">
        <v>46</v>
      </c>
      <c r="C7" s="9" t="s">
        <v>4</v>
      </c>
      <c r="D7" s="8" t="s">
        <v>66</v>
      </c>
      <c r="E7" s="8" t="s">
        <v>67</v>
      </c>
      <c r="F7" s="10" t="s">
        <v>9</v>
      </c>
      <c r="G7" s="8" t="s">
        <v>68</v>
      </c>
      <c r="H7" s="13" t="s">
        <v>15</v>
      </c>
      <c r="I7" s="8" t="s">
        <v>69</v>
      </c>
      <c r="J7" s="8" t="s">
        <v>70</v>
      </c>
      <c r="K7" s="8" t="s">
        <v>52</v>
      </c>
      <c r="L7" s="8" t="s">
        <v>71</v>
      </c>
      <c r="M7" s="8" t="s">
        <v>54</v>
      </c>
      <c r="N7" s="8" t="s">
        <v>23</v>
      </c>
      <c r="O7" s="8" t="s">
        <v>72</v>
      </c>
    </row>
    <row r="8" customFormat="false" ht="46.25" hidden="false" customHeight="false" outlineLevel="0" collapsed="false">
      <c r="A8" s="8" t="s">
        <v>73</v>
      </c>
      <c r="B8" s="8" t="s">
        <v>46</v>
      </c>
      <c r="C8" s="14" t="s">
        <v>5</v>
      </c>
      <c r="D8" s="8" t="s">
        <v>66</v>
      </c>
      <c r="E8" s="8" t="s">
        <v>74</v>
      </c>
      <c r="F8" s="12" t="s">
        <v>8</v>
      </c>
      <c r="G8" s="8" t="s">
        <v>75</v>
      </c>
      <c r="H8" s="13" t="s">
        <v>15</v>
      </c>
      <c r="I8" s="8" t="s">
        <v>76</v>
      </c>
      <c r="J8" s="8" t="s">
        <v>77</v>
      </c>
      <c r="K8" s="8" t="s">
        <v>78</v>
      </c>
      <c r="L8" s="8" t="s">
        <v>79</v>
      </c>
      <c r="M8" s="8" t="s">
        <v>63</v>
      </c>
      <c r="N8" s="8" t="s">
        <v>21</v>
      </c>
      <c r="O8" s="8" t="s">
        <v>80</v>
      </c>
    </row>
    <row r="9" customFormat="false" ht="57.45" hidden="false" customHeight="false" outlineLevel="0" collapsed="false">
      <c r="A9" s="8" t="s">
        <v>81</v>
      </c>
      <c r="B9" s="8" t="s">
        <v>46</v>
      </c>
      <c r="C9" s="14" t="s">
        <v>5</v>
      </c>
      <c r="D9" s="8" t="s">
        <v>82</v>
      </c>
      <c r="E9" s="8" t="s">
        <v>83</v>
      </c>
      <c r="F9" s="12" t="s">
        <v>8</v>
      </c>
      <c r="G9" s="8" t="s">
        <v>84</v>
      </c>
      <c r="H9" s="11" t="s">
        <v>14</v>
      </c>
      <c r="I9" s="8" t="s">
        <v>85</v>
      </c>
      <c r="J9" s="8" t="s">
        <v>86</v>
      </c>
      <c r="K9" s="8" t="s">
        <v>52</v>
      </c>
      <c r="L9" s="8" t="s">
        <v>87</v>
      </c>
      <c r="M9" s="8" t="s">
        <v>63</v>
      </c>
      <c r="N9" s="8" t="s">
        <v>21</v>
      </c>
      <c r="O9" s="8" t="s">
        <v>88</v>
      </c>
    </row>
    <row r="10" customFormat="false" ht="57.45" hidden="false" customHeight="false" outlineLevel="0" collapsed="false">
      <c r="A10" s="8" t="s">
        <v>89</v>
      </c>
      <c r="B10" s="8" t="s">
        <v>46</v>
      </c>
      <c r="C10" s="14" t="s">
        <v>5</v>
      </c>
      <c r="D10" s="8" t="s">
        <v>90</v>
      </c>
      <c r="E10" s="8" t="s">
        <v>91</v>
      </c>
      <c r="F10" s="10" t="s">
        <v>9</v>
      </c>
      <c r="G10" s="8" t="s">
        <v>92</v>
      </c>
      <c r="H10" s="13" t="s">
        <v>15</v>
      </c>
      <c r="I10" s="8" t="s">
        <v>93</v>
      </c>
      <c r="J10" s="8" t="s">
        <v>94</v>
      </c>
      <c r="K10" s="8" t="s">
        <v>52</v>
      </c>
      <c r="L10" s="8" t="s">
        <v>95</v>
      </c>
      <c r="M10" s="8" t="s">
        <v>54</v>
      </c>
      <c r="N10" s="8" t="s">
        <v>22</v>
      </c>
      <c r="O10" s="8" t="s">
        <v>96</v>
      </c>
    </row>
    <row r="11" customFormat="false" ht="68.65" hidden="false" customHeight="false" outlineLevel="0" collapsed="false">
      <c r="A11" s="8" t="s">
        <v>97</v>
      </c>
      <c r="B11" s="8" t="s">
        <v>46</v>
      </c>
      <c r="C11" s="15" t="s">
        <v>6</v>
      </c>
      <c r="D11" s="8" t="s">
        <v>98</v>
      </c>
      <c r="E11" s="8" t="s">
        <v>99</v>
      </c>
      <c r="F11" s="10" t="s">
        <v>9</v>
      </c>
      <c r="G11" s="8" t="s">
        <v>100</v>
      </c>
      <c r="H11" s="11" t="s">
        <v>14</v>
      </c>
      <c r="I11" s="8" t="s">
        <v>101</v>
      </c>
      <c r="J11" s="8" t="s">
        <v>102</v>
      </c>
      <c r="K11" s="8" t="s">
        <v>52</v>
      </c>
      <c r="L11" s="8" t="s">
        <v>103</v>
      </c>
      <c r="M11" s="8" t="s">
        <v>54</v>
      </c>
      <c r="N11" s="8" t="s">
        <v>22</v>
      </c>
      <c r="O11" s="8" t="s">
        <v>104</v>
      </c>
    </row>
    <row r="12" customFormat="false" ht="57.45" hidden="false" customHeight="false" outlineLevel="0" collapsed="false">
      <c r="A12" s="8" t="s">
        <v>105</v>
      </c>
      <c r="B12" s="8" t="s">
        <v>46</v>
      </c>
      <c r="C12" s="15" t="s">
        <v>6</v>
      </c>
      <c r="D12" s="8" t="s">
        <v>106</v>
      </c>
      <c r="E12" s="8" t="s">
        <v>107</v>
      </c>
      <c r="F12" s="12" t="s">
        <v>8</v>
      </c>
      <c r="G12" s="8" t="s">
        <v>108</v>
      </c>
      <c r="H12" s="13" t="s">
        <v>15</v>
      </c>
      <c r="I12" s="8" t="s">
        <v>109</v>
      </c>
      <c r="J12" s="8" t="s">
        <v>110</v>
      </c>
      <c r="K12" s="8" t="s">
        <v>52</v>
      </c>
      <c r="L12" s="8" t="s">
        <v>111</v>
      </c>
      <c r="M12" s="8" t="s">
        <v>63</v>
      </c>
      <c r="N12" s="8" t="s">
        <v>21</v>
      </c>
      <c r="O12" s="8" t="s">
        <v>112</v>
      </c>
    </row>
    <row r="13" customFormat="false" ht="68.65" hidden="false" customHeight="false" outlineLevel="0" collapsed="false">
      <c r="A13" s="8" t="s">
        <v>113</v>
      </c>
      <c r="B13" s="8" t="s">
        <v>46</v>
      </c>
      <c r="C13" s="16" t="s">
        <v>7</v>
      </c>
      <c r="D13" s="8" t="s">
        <v>57</v>
      </c>
      <c r="E13" s="8" t="s">
        <v>114</v>
      </c>
      <c r="F13" s="10" t="s">
        <v>9</v>
      </c>
      <c r="G13" s="8" t="s">
        <v>115</v>
      </c>
      <c r="H13" s="11" t="s">
        <v>14</v>
      </c>
      <c r="I13" s="8" t="s">
        <v>116</v>
      </c>
      <c r="J13" s="8" t="s">
        <v>117</v>
      </c>
      <c r="K13" s="8" t="s">
        <v>78</v>
      </c>
      <c r="L13" s="8" t="s">
        <v>118</v>
      </c>
      <c r="M13" s="8" t="s">
        <v>54</v>
      </c>
      <c r="N13" s="8" t="s">
        <v>22</v>
      </c>
      <c r="O13" s="8" t="s">
        <v>119</v>
      </c>
    </row>
    <row r="14" customFormat="false" ht="57.45" hidden="false" customHeight="false" outlineLevel="0" collapsed="false">
      <c r="A14" s="8" t="s">
        <v>128</v>
      </c>
      <c r="B14" s="8" t="s">
        <v>46</v>
      </c>
      <c r="C14" s="15" t="s">
        <v>6</v>
      </c>
      <c r="D14" s="8" t="s">
        <v>129</v>
      </c>
      <c r="E14" s="8" t="s">
        <v>130</v>
      </c>
      <c r="F14" s="12" t="s">
        <v>8</v>
      </c>
      <c r="G14" s="8" t="s">
        <v>131</v>
      </c>
      <c r="H14" s="11" t="s">
        <v>14</v>
      </c>
      <c r="I14" s="8" t="s">
        <v>132</v>
      </c>
      <c r="J14" s="8" t="s">
        <v>133</v>
      </c>
      <c r="K14" s="8" t="s">
        <v>52</v>
      </c>
      <c r="L14" s="8" t="s">
        <v>134</v>
      </c>
      <c r="M14" s="8" t="s">
        <v>63</v>
      </c>
      <c r="N14" s="8" t="s">
        <v>21</v>
      </c>
      <c r="O14" s="8" t="s">
        <v>112</v>
      </c>
    </row>
    <row r="15" customFormat="false" ht="68.65" hidden="false" customHeight="false" outlineLevel="0" collapsed="false">
      <c r="A15" s="8" t="s">
        <v>135</v>
      </c>
      <c r="B15" s="8" t="s">
        <v>46</v>
      </c>
      <c r="C15" s="14" t="s">
        <v>5</v>
      </c>
      <c r="D15" s="8" t="s">
        <v>136</v>
      </c>
      <c r="E15" s="8" t="s">
        <v>137</v>
      </c>
      <c r="F15" s="10" t="s">
        <v>9</v>
      </c>
      <c r="G15" s="8" t="s">
        <v>138</v>
      </c>
      <c r="H15" s="11" t="s">
        <v>14</v>
      </c>
      <c r="I15" s="8" t="s">
        <v>139</v>
      </c>
      <c r="J15" s="8" t="s">
        <v>140</v>
      </c>
      <c r="K15" s="8" t="s">
        <v>52</v>
      </c>
      <c r="L15" s="8" t="s">
        <v>141</v>
      </c>
      <c r="M15" s="8" t="s">
        <v>54</v>
      </c>
      <c r="N15" s="8" t="s">
        <v>22</v>
      </c>
      <c r="O15" s="8" t="s">
        <v>142</v>
      </c>
    </row>
    <row r="16" customFormat="false" ht="46.25" hidden="false" customHeight="false" outlineLevel="0" collapsed="false">
      <c r="A16" s="8" t="s">
        <v>143</v>
      </c>
      <c r="B16" s="8" t="s">
        <v>46</v>
      </c>
      <c r="C16" s="15" t="s">
        <v>6</v>
      </c>
      <c r="D16" s="8" t="s">
        <v>136</v>
      </c>
      <c r="E16" s="8" t="s">
        <v>144</v>
      </c>
      <c r="F16" s="10" t="s">
        <v>9</v>
      </c>
      <c r="G16" s="8" t="s">
        <v>145</v>
      </c>
      <c r="H16" s="11" t="s">
        <v>14</v>
      </c>
      <c r="I16" s="8" t="s">
        <v>146</v>
      </c>
      <c r="J16" s="8" t="s">
        <v>147</v>
      </c>
      <c r="K16" s="8" t="s">
        <v>52</v>
      </c>
      <c r="L16" s="8" t="s">
        <v>148</v>
      </c>
      <c r="M16" s="8" t="s">
        <v>54</v>
      </c>
      <c r="N16" s="8" t="s">
        <v>22</v>
      </c>
      <c r="O16" s="8" t="s">
        <v>112</v>
      </c>
    </row>
    <row r="17" customFormat="false" ht="35.05" hidden="false" customHeight="false" outlineLevel="0" collapsed="false">
      <c r="A17" s="8" t="s">
        <v>149</v>
      </c>
      <c r="B17" s="8" t="s">
        <v>46</v>
      </c>
      <c r="C17" s="15" t="s">
        <v>6</v>
      </c>
      <c r="D17" s="8" t="s">
        <v>136</v>
      </c>
      <c r="E17" s="8" t="s">
        <v>150</v>
      </c>
      <c r="F17" s="12" t="s">
        <v>8</v>
      </c>
      <c r="G17" s="8" t="s">
        <v>151</v>
      </c>
      <c r="H17" s="11" t="s">
        <v>14</v>
      </c>
      <c r="I17" s="8" t="s">
        <v>152</v>
      </c>
      <c r="J17" s="8" t="s">
        <v>153</v>
      </c>
      <c r="K17" s="8" t="s">
        <v>52</v>
      </c>
      <c r="L17" s="8" t="s">
        <v>154</v>
      </c>
      <c r="M17" s="8" t="s">
        <v>63</v>
      </c>
      <c r="N17" s="8" t="s">
        <v>21</v>
      </c>
      <c r="O17" s="8" t="s">
        <v>112</v>
      </c>
    </row>
    <row r="18" customFormat="false" ht="68.65" hidden="false" customHeight="false" outlineLevel="0" collapsed="false">
      <c r="A18" s="8" t="s">
        <v>155</v>
      </c>
      <c r="B18" s="8" t="s">
        <v>46</v>
      </c>
      <c r="C18" s="16" t="s">
        <v>7</v>
      </c>
      <c r="D18" s="8" t="s">
        <v>136</v>
      </c>
      <c r="E18" s="8" t="s">
        <v>156</v>
      </c>
      <c r="F18" s="10" t="s">
        <v>9</v>
      </c>
      <c r="G18" s="8" t="s">
        <v>157</v>
      </c>
      <c r="H18" s="13" t="s">
        <v>15</v>
      </c>
      <c r="I18" s="8" t="s">
        <v>158</v>
      </c>
      <c r="J18" s="8" t="s">
        <v>159</v>
      </c>
      <c r="K18" s="8" t="s">
        <v>78</v>
      </c>
      <c r="L18" s="8" t="s">
        <v>160</v>
      </c>
      <c r="M18" s="8" t="s">
        <v>54</v>
      </c>
      <c r="N18" s="17" t="s">
        <v>24</v>
      </c>
      <c r="O18" s="8" t="s">
        <v>161</v>
      </c>
    </row>
    <row r="19" customFormat="false" ht="68.65" hidden="false" customHeight="false" outlineLevel="0" collapsed="false">
      <c r="A19" s="8" t="s">
        <v>162</v>
      </c>
      <c r="B19" s="8" t="s">
        <v>46</v>
      </c>
      <c r="C19" s="16" t="s">
        <v>7</v>
      </c>
      <c r="D19" s="8" t="s">
        <v>136</v>
      </c>
      <c r="E19" s="8" t="s">
        <v>163</v>
      </c>
      <c r="F19" s="10" t="s">
        <v>9</v>
      </c>
      <c r="G19" s="8" t="s">
        <v>164</v>
      </c>
      <c r="H19" s="11" t="s">
        <v>14</v>
      </c>
      <c r="I19" s="8" t="s">
        <v>165</v>
      </c>
      <c r="J19" s="8" t="s">
        <v>166</v>
      </c>
      <c r="K19" s="8" t="s">
        <v>78</v>
      </c>
      <c r="L19" s="8" t="s">
        <v>167</v>
      </c>
      <c r="M19" s="8" t="s">
        <v>54</v>
      </c>
      <c r="N19" s="18" t="s">
        <v>25</v>
      </c>
      <c r="O19" s="8" t="s">
        <v>168</v>
      </c>
    </row>
    <row r="20" customFormat="false" ht="46.25" hidden="false" customHeight="false" outlineLevel="0" collapsed="false">
      <c r="A20" s="8" t="s">
        <v>169</v>
      </c>
      <c r="B20" s="8" t="s">
        <v>46</v>
      </c>
      <c r="C20" s="16" t="s">
        <v>7</v>
      </c>
      <c r="D20" s="8" t="s">
        <v>136</v>
      </c>
      <c r="E20" s="8" t="s">
        <v>170</v>
      </c>
      <c r="F20" s="12" t="s">
        <v>8</v>
      </c>
      <c r="G20" s="8" t="s">
        <v>171</v>
      </c>
      <c r="H20" s="11" t="s">
        <v>14</v>
      </c>
      <c r="I20" s="8" t="s">
        <v>172</v>
      </c>
      <c r="J20" s="8" t="s">
        <v>173</v>
      </c>
      <c r="K20" s="8" t="s">
        <v>78</v>
      </c>
      <c r="L20" s="8" t="s">
        <v>154</v>
      </c>
      <c r="M20" s="8" t="s">
        <v>63</v>
      </c>
      <c r="N20" s="8" t="s">
        <v>21</v>
      </c>
      <c r="O20" s="8" t="s">
        <v>112</v>
      </c>
    </row>
    <row r="21" customFormat="false" ht="57.45" hidden="false" customHeight="false" outlineLevel="0" collapsed="false">
      <c r="A21" s="8" t="s">
        <v>182</v>
      </c>
      <c r="B21" s="8" t="s">
        <v>46</v>
      </c>
      <c r="C21" s="14" t="s">
        <v>5</v>
      </c>
      <c r="D21" s="8" t="s">
        <v>183</v>
      </c>
      <c r="E21" s="8" t="s">
        <v>184</v>
      </c>
      <c r="F21" s="12" t="s">
        <v>8</v>
      </c>
      <c r="G21" s="8" t="s">
        <v>185</v>
      </c>
      <c r="H21" s="11" t="s">
        <v>14</v>
      </c>
      <c r="I21" s="8" t="s">
        <v>186</v>
      </c>
      <c r="J21" s="8" t="s">
        <v>187</v>
      </c>
      <c r="K21" s="8" t="s">
        <v>52</v>
      </c>
      <c r="L21" s="8" t="s">
        <v>154</v>
      </c>
      <c r="M21" s="8" t="s">
        <v>63</v>
      </c>
      <c r="N21" s="8" t="s">
        <v>21</v>
      </c>
      <c r="O21" s="8" t="s">
        <v>112</v>
      </c>
    </row>
    <row r="22" customFormat="false" ht="57.45" hidden="false" customHeight="false" outlineLevel="0" collapsed="false">
      <c r="A22" s="8" t="s">
        <v>188</v>
      </c>
      <c r="B22" s="8" t="s">
        <v>46</v>
      </c>
      <c r="C22" s="14" t="s">
        <v>5</v>
      </c>
      <c r="D22" s="8" t="s">
        <v>183</v>
      </c>
      <c r="E22" s="8" t="s">
        <v>189</v>
      </c>
      <c r="F22" s="10" t="s">
        <v>9</v>
      </c>
      <c r="G22" s="8" t="s">
        <v>190</v>
      </c>
      <c r="H22" s="11" t="s">
        <v>14</v>
      </c>
      <c r="I22" s="8" t="s">
        <v>191</v>
      </c>
      <c r="J22" s="8" t="s">
        <v>192</v>
      </c>
      <c r="K22" s="8" t="s">
        <v>78</v>
      </c>
      <c r="L22" s="8" t="s">
        <v>193</v>
      </c>
      <c r="M22" s="8" t="s">
        <v>54</v>
      </c>
      <c r="N22" s="8" t="s">
        <v>22</v>
      </c>
      <c r="O22" s="8" t="s">
        <v>194</v>
      </c>
    </row>
    <row r="23" customFormat="false" ht="68.65" hidden="false" customHeight="false" outlineLevel="0" collapsed="false">
      <c r="A23" s="8" t="s">
        <v>195</v>
      </c>
      <c r="B23" s="8" t="s">
        <v>46</v>
      </c>
      <c r="C23" s="14" t="s">
        <v>5</v>
      </c>
      <c r="D23" s="8" t="s">
        <v>196</v>
      </c>
      <c r="E23" s="8" t="s">
        <v>197</v>
      </c>
      <c r="F23" s="10" t="s">
        <v>9</v>
      </c>
      <c r="G23" s="8" t="s">
        <v>198</v>
      </c>
      <c r="H23" s="13" t="s">
        <v>15</v>
      </c>
      <c r="I23" s="8" t="s">
        <v>199</v>
      </c>
      <c r="J23" s="8" t="s">
        <v>200</v>
      </c>
      <c r="K23" s="8" t="s">
        <v>52</v>
      </c>
      <c r="L23" s="8" t="s">
        <v>201</v>
      </c>
      <c r="M23" s="8" t="s">
        <v>54</v>
      </c>
      <c r="N23" s="8" t="s">
        <v>22</v>
      </c>
      <c r="O23" s="8" t="s">
        <v>112</v>
      </c>
    </row>
    <row r="24" customFormat="false" ht="35.05" hidden="false" customHeight="false" outlineLevel="0" collapsed="false">
      <c r="A24" s="8" t="s">
        <v>202</v>
      </c>
      <c r="B24" s="8" t="s">
        <v>46</v>
      </c>
      <c r="C24" s="15" t="s">
        <v>6</v>
      </c>
      <c r="D24" s="8" t="s">
        <v>183</v>
      </c>
      <c r="E24" s="8" t="s">
        <v>203</v>
      </c>
      <c r="F24" s="12" t="s">
        <v>8</v>
      </c>
      <c r="G24" s="8" t="s">
        <v>204</v>
      </c>
      <c r="H24" s="11" t="s">
        <v>14</v>
      </c>
      <c r="I24" s="8" t="s">
        <v>205</v>
      </c>
      <c r="J24" s="8" t="s">
        <v>206</v>
      </c>
      <c r="K24" s="8" t="s">
        <v>52</v>
      </c>
      <c r="L24" s="8" t="s">
        <v>154</v>
      </c>
      <c r="M24" s="8" t="s">
        <v>63</v>
      </c>
      <c r="N24" s="8" t="s">
        <v>21</v>
      </c>
      <c r="O24" s="8" t="s">
        <v>112</v>
      </c>
    </row>
    <row r="25" customFormat="false" ht="46.25" hidden="false" customHeight="false" outlineLevel="0" collapsed="false">
      <c r="A25" s="8" t="s">
        <v>207</v>
      </c>
      <c r="B25" s="8" t="s">
        <v>46</v>
      </c>
      <c r="C25" s="15" t="s">
        <v>6</v>
      </c>
      <c r="D25" s="8" t="s">
        <v>183</v>
      </c>
      <c r="E25" s="8" t="s">
        <v>208</v>
      </c>
      <c r="F25" s="12" t="s">
        <v>8</v>
      </c>
      <c r="G25" s="8" t="s">
        <v>209</v>
      </c>
      <c r="H25" s="11" t="s">
        <v>14</v>
      </c>
      <c r="I25" s="8" t="s">
        <v>210</v>
      </c>
      <c r="J25" s="8" t="s">
        <v>211</v>
      </c>
      <c r="K25" s="8" t="s">
        <v>52</v>
      </c>
      <c r="L25" s="8" t="s">
        <v>154</v>
      </c>
      <c r="M25" s="8" t="s">
        <v>63</v>
      </c>
      <c r="N25" s="8" t="s">
        <v>21</v>
      </c>
      <c r="O25" s="8" t="s">
        <v>112</v>
      </c>
    </row>
    <row r="26" customFormat="false" ht="57.45" hidden="false" customHeight="false" outlineLevel="0" collapsed="false">
      <c r="A26" s="8" t="s">
        <v>212</v>
      </c>
      <c r="B26" s="8" t="s">
        <v>46</v>
      </c>
      <c r="C26" s="15" t="s">
        <v>6</v>
      </c>
      <c r="D26" s="8" t="s">
        <v>183</v>
      </c>
      <c r="E26" s="8" t="s">
        <v>213</v>
      </c>
      <c r="F26" s="10" t="s">
        <v>9</v>
      </c>
      <c r="G26" s="8" t="s">
        <v>214</v>
      </c>
      <c r="H26" s="11" t="s">
        <v>14</v>
      </c>
      <c r="I26" s="8" t="s">
        <v>215</v>
      </c>
      <c r="J26" s="8" t="s">
        <v>216</v>
      </c>
      <c r="K26" s="8" t="s">
        <v>52</v>
      </c>
      <c r="L26" s="8" t="s">
        <v>217</v>
      </c>
      <c r="M26" s="8" t="s">
        <v>54</v>
      </c>
      <c r="N26" s="8" t="s">
        <v>22</v>
      </c>
      <c r="O26" s="8" t="s">
        <v>218</v>
      </c>
    </row>
    <row r="27" customFormat="false" ht="57.45" hidden="false" customHeight="false" outlineLevel="0" collapsed="false">
      <c r="A27" s="8" t="s">
        <v>223</v>
      </c>
      <c r="B27" s="8" t="s">
        <v>46</v>
      </c>
      <c r="C27" s="15" t="s">
        <v>6</v>
      </c>
      <c r="D27" s="8" t="s">
        <v>183</v>
      </c>
      <c r="E27" s="8" t="s">
        <v>224</v>
      </c>
      <c r="F27" s="12" t="s">
        <v>8</v>
      </c>
      <c r="G27" s="8" t="s">
        <v>225</v>
      </c>
      <c r="H27" s="13" t="s">
        <v>15</v>
      </c>
      <c r="I27" s="8" t="s">
        <v>226</v>
      </c>
      <c r="J27" s="8" t="s">
        <v>227</v>
      </c>
      <c r="K27" s="8" t="s">
        <v>52</v>
      </c>
      <c r="L27" s="8" t="s">
        <v>228</v>
      </c>
      <c r="M27" s="8" t="s">
        <v>63</v>
      </c>
      <c r="N27" s="8" t="s">
        <v>21</v>
      </c>
      <c r="O27" s="8" t="s">
        <v>112</v>
      </c>
    </row>
    <row r="28" customFormat="false" ht="57.45" hidden="false" customHeight="false" outlineLevel="0" collapsed="false">
      <c r="A28" s="8" t="s">
        <v>229</v>
      </c>
      <c r="B28" s="8" t="s">
        <v>46</v>
      </c>
      <c r="C28" s="9" t="s">
        <v>4</v>
      </c>
      <c r="D28" s="8" t="s">
        <v>230</v>
      </c>
      <c r="E28" s="8" t="s">
        <v>231</v>
      </c>
      <c r="F28" s="12" t="s">
        <v>8</v>
      </c>
      <c r="G28" s="8" t="s">
        <v>232</v>
      </c>
      <c r="H28" s="13" t="s">
        <v>15</v>
      </c>
      <c r="I28" s="8" t="s">
        <v>233</v>
      </c>
      <c r="J28" s="8" t="s">
        <v>234</v>
      </c>
      <c r="K28" s="8" t="s">
        <v>78</v>
      </c>
      <c r="L28" s="8" t="s">
        <v>235</v>
      </c>
      <c r="M28" s="8" t="s">
        <v>63</v>
      </c>
      <c r="N28" s="8" t="s">
        <v>21</v>
      </c>
      <c r="O28" s="8" t="s">
        <v>236</v>
      </c>
    </row>
    <row r="29" customFormat="false" ht="46.25" hidden="false" customHeight="false" outlineLevel="0" collapsed="false">
      <c r="A29" s="8" t="s">
        <v>237</v>
      </c>
      <c r="B29" s="8" t="s">
        <v>46</v>
      </c>
      <c r="C29" s="14" t="s">
        <v>5</v>
      </c>
      <c r="D29" s="8" t="s">
        <v>238</v>
      </c>
      <c r="E29" s="8" t="s">
        <v>239</v>
      </c>
      <c r="F29" s="12" t="s">
        <v>8</v>
      </c>
      <c r="G29" s="8" t="s">
        <v>240</v>
      </c>
      <c r="H29" s="11" t="s">
        <v>14</v>
      </c>
      <c r="I29" s="8" t="s">
        <v>241</v>
      </c>
      <c r="J29" s="8" t="s">
        <v>242</v>
      </c>
      <c r="K29" s="8" t="s">
        <v>78</v>
      </c>
      <c r="L29" s="8" t="s">
        <v>243</v>
      </c>
      <c r="M29" s="8" t="s">
        <v>63</v>
      </c>
      <c r="N29" s="8" t="s">
        <v>21</v>
      </c>
      <c r="O29" s="8" t="s">
        <v>112</v>
      </c>
    </row>
    <row r="30" customFormat="false" ht="68.65" hidden="false" customHeight="false" outlineLevel="0" collapsed="false">
      <c r="A30" s="8" t="s">
        <v>244</v>
      </c>
      <c r="B30" s="8" t="s">
        <v>46</v>
      </c>
      <c r="C30" s="15" t="s">
        <v>6</v>
      </c>
      <c r="D30" s="8" t="s">
        <v>230</v>
      </c>
      <c r="E30" s="8" t="s">
        <v>245</v>
      </c>
      <c r="F30" s="10" t="s">
        <v>9</v>
      </c>
      <c r="G30" s="8" t="s">
        <v>246</v>
      </c>
      <c r="H30" s="13" t="s">
        <v>15</v>
      </c>
      <c r="I30" s="8" t="s">
        <v>247</v>
      </c>
      <c r="J30" s="8" t="s">
        <v>248</v>
      </c>
      <c r="K30" s="8" t="s">
        <v>52</v>
      </c>
      <c r="L30" s="8" t="s">
        <v>249</v>
      </c>
      <c r="M30" s="8" t="s">
        <v>54</v>
      </c>
      <c r="N30" s="8" t="s">
        <v>22</v>
      </c>
      <c r="O30" s="8" t="s">
        <v>112</v>
      </c>
    </row>
    <row r="31" customFormat="false" ht="46.25" hidden="false" customHeight="false" outlineLevel="0" collapsed="false">
      <c r="A31" s="8" t="s">
        <v>250</v>
      </c>
      <c r="B31" s="8" t="s">
        <v>46</v>
      </c>
      <c r="C31" s="15" t="s">
        <v>6</v>
      </c>
      <c r="D31" s="8" t="s">
        <v>230</v>
      </c>
      <c r="E31" s="8" t="s">
        <v>251</v>
      </c>
      <c r="F31" s="12" t="s">
        <v>8</v>
      </c>
      <c r="G31" s="8" t="s">
        <v>252</v>
      </c>
      <c r="H31" s="11" t="s">
        <v>14</v>
      </c>
      <c r="I31" s="8" t="s">
        <v>253</v>
      </c>
      <c r="J31" s="8" t="s">
        <v>254</v>
      </c>
      <c r="K31" s="8" t="s">
        <v>78</v>
      </c>
      <c r="L31" s="8" t="s">
        <v>154</v>
      </c>
      <c r="M31" s="8" t="s">
        <v>63</v>
      </c>
      <c r="N31" s="8" t="s">
        <v>21</v>
      </c>
      <c r="O31" s="8" t="s">
        <v>112</v>
      </c>
    </row>
    <row r="32" customFormat="false" ht="57.45" hidden="false" customHeight="false" outlineLevel="0" collapsed="false">
      <c r="A32" s="8" t="s">
        <v>255</v>
      </c>
      <c r="B32" s="8" t="s">
        <v>46</v>
      </c>
      <c r="C32" s="15" t="s">
        <v>6</v>
      </c>
      <c r="D32" s="8" t="s">
        <v>230</v>
      </c>
      <c r="E32" s="8" t="s">
        <v>256</v>
      </c>
      <c r="F32" s="12" t="s">
        <v>8</v>
      </c>
      <c r="G32" s="8" t="s">
        <v>257</v>
      </c>
      <c r="H32" s="11" t="s">
        <v>14</v>
      </c>
      <c r="I32" s="8" t="s">
        <v>258</v>
      </c>
      <c r="J32" s="8" t="s">
        <v>259</v>
      </c>
      <c r="K32" s="8" t="s">
        <v>78</v>
      </c>
      <c r="L32" s="8" t="s">
        <v>260</v>
      </c>
      <c r="M32" s="8" t="s">
        <v>63</v>
      </c>
      <c r="N32" s="8" t="s">
        <v>21</v>
      </c>
      <c r="O32" s="8" t="s">
        <v>112</v>
      </c>
    </row>
    <row r="33" customFormat="false" ht="46.25" hidden="false" customHeight="false" outlineLevel="0" collapsed="false">
      <c r="A33" s="8" t="s">
        <v>261</v>
      </c>
      <c r="B33" s="8" t="s">
        <v>46</v>
      </c>
      <c r="C33" s="15" t="s">
        <v>6</v>
      </c>
      <c r="D33" s="8" t="s">
        <v>230</v>
      </c>
      <c r="E33" s="8" t="s">
        <v>262</v>
      </c>
      <c r="F33" s="20" t="s">
        <v>10</v>
      </c>
      <c r="G33" s="8" t="s">
        <v>263</v>
      </c>
      <c r="H33" s="11" t="s">
        <v>14</v>
      </c>
      <c r="I33" s="8" t="s">
        <v>264</v>
      </c>
      <c r="J33" s="8" t="s">
        <v>265</v>
      </c>
      <c r="K33" s="8" t="s">
        <v>78</v>
      </c>
      <c r="L33" s="8" t="s">
        <v>266</v>
      </c>
      <c r="M33" s="8" t="s">
        <v>54</v>
      </c>
      <c r="N33" s="8" t="s">
        <v>23</v>
      </c>
      <c r="O33" s="8" t="s">
        <v>112</v>
      </c>
    </row>
    <row r="34" customFormat="false" ht="57.45" hidden="false" customHeight="false" outlineLevel="0" collapsed="false">
      <c r="A34" s="8" t="s">
        <v>267</v>
      </c>
      <c r="B34" s="8" t="s">
        <v>46</v>
      </c>
      <c r="C34" s="15" t="s">
        <v>6</v>
      </c>
      <c r="D34" s="8" t="s">
        <v>230</v>
      </c>
      <c r="E34" s="8" t="s">
        <v>268</v>
      </c>
      <c r="F34" s="10" t="s">
        <v>9</v>
      </c>
      <c r="G34" s="8" t="s">
        <v>269</v>
      </c>
      <c r="H34" s="11" t="s">
        <v>14</v>
      </c>
      <c r="I34" s="8" t="s">
        <v>270</v>
      </c>
      <c r="J34" s="8" t="s">
        <v>271</v>
      </c>
      <c r="K34" s="8" t="s">
        <v>52</v>
      </c>
      <c r="L34" s="8" t="s">
        <v>272</v>
      </c>
      <c r="M34" s="8" t="s">
        <v>273</v>
      </c>
      <c r="N34" s="8" t="s">
        <v>22</v>
      </c>
      <c r="O34" s="8" t="s">
        <v>274</v>
      </c>
    </row>
    <row r="35" customFormat="false" ht="57.45" hidden="false" customHeight="false" outlineLevel="0" collapsed="false">
      <c r="A35" s="8" t="s">
        <v>275</v>
      </c>
      <c r="B35" s="8" t="s">
        <v>46</v>
      </c>
      <c r="C35" s="16" t="s">
        <v>7</v>
      </c>
      <c r="D35" s="8" t="s">
        <v>230</v>
      </c>
      <c r="E35" s="8" t="s">
        <v>276</v>
      </c>
      <c r="F35" s="10" t="s">
        <v>9</v>
      </c>
      <c r="G35" s="8" t="s">
        <v>277</v>
      </c>
      <c r="H35" s="13" t="s">
        <v>15</v>
      </c>
      <c r="I35" s="8" t="s">
        <v>278</v>
      </c>
      <c r="J35" s="8" t="s">
        <v>279</v>
      </c>
      <c r="K35" s="8" t="s">
        <v>52</v>
      </c>
      <c r="L35" s="8" t="s">
        <v>280</v>
      </c>
      <c r="M35" s="8" t="s">
        <v>54</v>
      </c>
      <c r="N35" s="8" t="s">
        <v>22</v>
      </c>
      <c r="O35" s="8" t="s">
        <v>112</v>
      </c>
    </row>
    <row r="36" customFormat="false" ht="79.85" hidden="false" customHeight="false" outlineLevel="0" collapsed="false">
      <c r="A36" s="8" t="s">
        <v>281</v>
      </c>
      <c r="B36" s="8" t="s">
        <v>46</v>
      </c>
      <c r="C36" s="9" t="s">
        <v>4</v>
      </c>
      <c r="D36" s="8" t="s">
        <v>282</v>
      </c>
      <c r="E36" s="8" t="s">
        <v>283</v>
      </c>
      <c r="F36" s="12" t="s">
        <v>8</v>
      </c>
      <c r="G36" s="8" t="s">
        <v>284</v>
      </c>
      <c r="H36" s="11" t="s">
        <v>14</v>
      </c>
      <c r="I36" s="8" t="s">
        <v>285</v>
      </c>
      <c r="J36" s="8" t="s">
        <v>286</v>
      </c>
      <c r="K36" s="8" t="s">
        <v>52</v>
      </c>
      <c r="L36" s="8" t="s">
        <v>287</v>
      </c>
      <c r="M36" s="8" t="s">
        <v>288</v>
      </c>
      <c r="N36" s="8" t="s">
        <v>21</v>
      </c>
      <c r="O36" s="8" t="s">
        <v>289</v>
      </c>
    </row>
    <row r="37" customFormat="false" ht="68.65" hidden="false" customHeight="false" outlineLevel="0" collapsed="false">
      <c r="A37" s="8" t="s">
        <v>290</v>
      </c>
      <c r="B37" s="8" t="s">
        <v>46</v>
      </c>
      <c r="C37" s="14" t="s">
        <v>5</v>
      </c>
      <c r="D37" s="8" t="s">
        <v>291</v>
      </c>
      <c r="E37" s="8" t="s">
        <v>292</v>
      </c>
      <c r="F37" s="20" t="s">
        <v>10</v>
      </c>
      <c r="G37" s="8" t="s">
        <v>293</v>
      </c>
      <c r="H37" s="11" t="s">
        <v>14</v>
      </c>
      <c r="I37" s="8" t="s">
        <v>294</v>
      </c>
      <c r="J37" s="8" t="s">
        <v>295</v>
      </c>
      <c r="K37" s="8" t="s">
        <v>78</v>
      </c>
      <c r="L37" s="8" t="s">
        <v>296</v>
      </c>
      <c r="M37" s="8" t="s">
        <v>273</v>
      </c>
      <c r="N37" s="8" t="s">
        <v>23</v>
      </c>
      <c r="O37" s="8" t="s">
        <v>297</v>
      </c>
    </row>
    <row r="38" customFormat="false" ht="57.45" hidden="false" customHeight="false" outlineLevel="0" collapsed="false">
      <c r="A38" s="8" t="s">
        <v>298</v>
      </c>
      <c r="B38" s="8" t="s">
        <v>46</v>
      </c>
      <c r="C38" s="15" t="s">
        <v>6</v>
      </c>
      <c r="D38" s="8" t="s">
        <v>299</v>
      </c>
      <c r="E38" s="8" t="s">
        <v>300</v>
      </c>
      <c r="F38" s="12" t="s">
        <v>8</v>
      </c>
      <c r="G38" s="8" t="s">
        <v>301</v>
      </c>
      <c r="H38" s="13" t="s">
        <v>15</v>
      </c>
      <c r="I38" s="8" t="s">
        <v>302</v>
      </c>
      <c r="J38" s="8" t="s">
        <v>303</v>
      </c>
      <c r="K38" s="8" t="s">
        <v>52</v>
      </c>
      <c r="L38" s="8" t="s">
        <v>304</v>
      </c>
      <c r="M38" s="8" t="s">
        <v>63</v>
      </c>
      <c r="N38" s="8" t="s">
        <v>21</v>
      </c>
      <c r="O38" s="8" t="s">
        <v>305</v>
      </c>
    </row>
    <row r="39" customFormat="false" ht="46.25" hidden="false" customHeight="false" outlineLevel="0" collapsed="false">
      <c r="A39" s="8" t="s">
        <v>306</v>
      </c>
      <c r="B39" s="8" t="s">
        <v>46</v>
      </c>
      <c r="C39" s="15" t="s">
        <v>6</v>
      </c>
      <c r="D39" s="8" t="s">
        <v>282</v>
      </c>
      <c r="E39" s="8" t="s">
        <v>307</v>
      </c>
      <c r="F39" s="12" t="s">
        <v>8</v>
      </c>
      <c r="G39" s="8" t="s">
        <v>308</v>
      </c>
      <c r="H39" s="13" t="s">
        <v>15</v>
      </c>
      <c r="I39" s="8" t="s">
        <v>309</v>
      </c>
      <c r="J39" s="8" t="s">
        <v>310</v>
      </c>
      <c r="K39" s="8" t="s">
        <v>52</v>
      </c>
      <c r="L39" s="8" t="s">
        <v>311</v>
      </c>
      <c r="M39" s="8" t="s">
        <v>288</v>
      </c>
      <c r="N39" s="8" t="s">
        <v>21</v>
      </c>
      <c r="O39" s="8" t="s">
        <v>112</v>
      </c>
    </row>
    <row r="40" customFormat="false" ht="46.25" hidden="false" customHeight="false" outlineLevel="0" collapsed="false">
      <c r="A40" s="8" t="s">
        <v>312</v>
      </c>
      <c r="B40" s="8" t="s">
        <v>46</v>
      </c>
      <c r="C40" s="15" t="s">
        <v>6</v>
      </c>
      <c r="D40" s="8" t="s">
        <v>282</v>
      </c>
      <c r="E40" s="8" t="s">
        <v>313</v>
      </c>
      <c r="F40" s="10" t="s">
        <v>9</v>
      </c>
      <c r="G40" s="8" t="s">
        <v>314</v>
      </c>
      <c r="H40" s="11" t="s">
        <v>14</v>
      </c>
      <c r="I40" s="8" t="s">
        <v>315</v>
      </c>
      <c r="J40" s="8" t="s">
        <v>316</v>
      </c>
      <c r="K40" s="8" t="s">
        <v>52</v>
      </c>
      <c r="L40" s="8" t="s">
        <v>317</v>
      </c>
      <c r="M40" s="8" t="s">
        <v>54</v>
      </c>
      <c r="N40" s="8" t="s">
        <v>22</v>
      </c>
      <c r="O40" s="8" t="s">
        <v>112</v>
      </c>
    </row>
    <row r="41" customFormat="false" ht="68.65" hidden="false" customHeight="false" outlineLevel="0" collapsed="false">
      <c r="A41" s="8" t="s">
        <v>318</v>
      </c>
      <c r="B41" s="8" t="s">
        <v>46</v>
      </c>
      <c r="C41" s="15" t="s">
        <v>6</v>
      </c>
      <c r="D41" s="8" t="s">
        <v>282</v>
      </c>
      <c r="E41" s="8" t="s">
        <v>319</v>
      </c>
      <c r="F41" s="10" t="s">
        <v>9</v>
      </c>
      <c r="G41" s="8" t="s">
        <v>320</v>
      </c>
      <c r="H41" s="13" t="s">
        <v>15</v>
      </c>
      <c r="I41" s="8" t="s">
        <v>321</v>
      </c>
      <c r="J41" s="8" t="s">
        <v>322</v>
      </c>
      <c r="K41" s="8" t="s">
        <v>52</v>
      </c>
      <c r="L41" s="8" t="s">
        <v>323</v>
      </c>
      <c r="M41" s="8" t="s">
        <v>273</v>
      </c>
      <c r="N41" s="8" t="s">
        <v>22</v>
      </c>
      <c r="O41" s="8" t="s">
        <v>324</v>
      </c>
    </row>
    <row r="42" customFormat="false" ht="35.05" hidden="false" customHeight="false" outlineLevel="0" collapsed="false">
      <c r="A42" s="8" t="s">
        <v>325</v>
      </c>
      <c r="B42" s="8" t="s">
        <v>46</v>
      </c>
      <c r="C42" s="16" t="s">
        <v>7</v>
      </c>
      <c r="D42" s="8" t="s">
        <v>282</v>
      </c>
      <c r="E42" s="8" t="s">
        <v>326</v>
      </c>
      <c r="F42" s="19" t="s">
        <v>11</v>
      </c>
      <c r="G42" s="8" t="s">
        <v>327</v>
      </c>
      <c r="H42" s="11" t="s">
        <v>14</v>
      </c>
      <c r="I42" s="8" t="s">
        <v>328</v>
      </c>
      <c r="J42" s="8" t="s">
        <v>173</v>
      </c>
      <c r="K42" s="8" t="s">
        <v>78</v>
      </c>
      <c r="L42" s="8" t="s">
        <v>179</v>
      </c>
      <c r="M42" s="8" t="s">
        <v>329</v>
      </c>
      <c r="N42" s="8" t="s">
        <v>21</v>
      </c>
      <c r="O42" s="8" t="s">
        <v>112</v>
      </c>
    </row>
    <row r="43" customFormat="false" ht="79.85" hidden="false" customHeight="false" outlineLevel="0" collapsed="false">
      <c r="A43" s="8" t="s">
        <v>330</v>
      </c>
      <c r="B43" s="8" t="s">
        <v>46</v>
      </c>
      <c r="C43" s="14" t="s">
        <v>5</v>
      </c>
      <c r="D43" s="8" t="s">
        <v>331</v>
      </c>
      <c r="E43" s="8" t="s">
        <v>332</v>
      </c>
      <c r="F43" s="10" t="s">
        <v>9</v>
      </c>
      <c r="G43" s="8" t="s">
        <v>333</v>
      </c>
      <c r="H43" s="13" t="s">
        <v>15</v>
      </c>
      <c r="I43" s="8" t="s">
        <v>334</v>
      </c>
      <c r="J43" s="8" t="s">
        <v>335</v>
      </c>
      <c r="K43" s="8" t="s">
        <v>52</v>
      </c>
      <c r="L43" s="8" t="s">
        <v>336</v>
      </c>
      <c r="M43" s="8" t="s">
        <v>54</v>
      </c>
      <c r="N43" s="8" t="s">
        <v>22</v>
      </c>
      <c r="O43" s="8" t="s">
        <v>337</v>
      </c>
    </row>
    <row r="44" customFormat="false" ht="57.45" hidden="false" customHeight="false" outlineLevel="0" collapsed="false">
      <c r="A44" s="8" t="s">
        <v>359</v>
      </c>
      <c r="B44" s="8" t="s">
        <v>46</v>
      </c>
      <c r="C44" s="14" t="s">
        <v>5</v>
      </c>
      <c r="D44" s="8" t="s">
        <v>352</v>
      </c>
      <c r="E44" s="8" t="s">
        <v>360</v>
      </c>
      <c r="F44" s="12" t="s">
        <v>8</v>
      </c>
      <c r="G44" s="8" t="s">
        <v>361</v>
      </c>
      <c r="H44" s="13" t="s">
        <v>15</v>
      </c>
      <c r="I44" s="8" t="s">
        <v>362</v>
      </c>
      <c r="J44" s="8" t="s">
        <v>363</v>
      </c>
      <c r="K44" s="8" t="s">
        <v>52</v>
      </c>
      <c r="L44" s="8" t="s">
        <v>364</v>
      </c>
      <c r="M44" s="8" t="s">
        <v>63</v>
      </c>
      <c r="N44" s="8" t="s">
        <v>21</v>
      </c>
      <c r="O44" s="8" t="s">
        <v>365</v>
      </c>
    </row>
    <row r="45" customFormat="false" ht="91" hidden="false" customHeight="false" outlineLevel="0" collapsed="false">
      <c r="A45" s="8" t="s">
        <v>373</v>
      </c>
      <c r="B45" s="8" t="s">
        <v>46</v>
      </c>
      <c r="C45" s="14" t="s">
        <v>5</v>
      </c>
      <c r="D45" s="8" t="s">
        <v>374</v>
      </c>
      <c r="E45" s="8" t="s">
        <v>375</v>
      </c>
      <c r="F45" s="10" t="s">
        <v>9</v>
      </c>
      <c r="G45" s="8" t="s">
        <v>376</v>
      </c>
      <c r="H45" s="11" t="s">
        <v>14</v>
      </c>
      <c r="I45" s="8" t="s">
        <v>377</v>
      </c>
      <c r="J45" s="8" t="s">
        <v>378</v>
      </c>
      <c r="K45" s="8" t="s">
        <v>52</v>
      </c>
      <c r="L45" s="8" t="s">
        <v>379</v>
      </c>
      <c r="M45" s="8" t="s">
        <v>54</v>
      </c>
      <c r="N45" s="8" t="s">
        <v>22</v>
      </c>
      <c r="O45" s="8" t="s">
        <v>380</v>
      </c>
    </row>
    <row r="46" customFormat="false" ht="46.25" hidden="false" customHeight="false" outlineLevel="0" collapsed="false">
      <c r="A46" s="8" t="s">
        <v>381</v>
      </c>
      <c r="B46" s="8" t="s">
        <v>46</v>
      </c>
      <c r="C46" s="15" t="s">
        <v>6</v>
      </c>
      <c r="D46" s="8" t="s">
        <v>374</v>
      </c>
      <c r="E46" s="8" t="s">
        <v>382</v>
      </c>
      <c r="F46" s="12" t="s">
        <v>8</v>
      </c>
      <c r="G46" s="8" t="s">
        <v>383</v>
      </c>
      <c r="H46" s="11" t="s">
        <v>14</v>
      </c>
      <c r="I46" s="8" t="s">
        <v>384</v>
      </c>
      <c r="J46" s="8" t="s">
        <v>385</v>
      </c>
      <c r="K46" s="8" t="s">
        <v>52</v>
      </c>
      <c r="L46" s="8" t="s">
        <v>154</v>
      </c>
      <c r="M46" s="8" t="s">
        <v>63</v>
      </c>
      <c r="N46" s="8" t="s">
        <v>21</v>
      </c>
      <c r="O46" s="8" t="s">
        <v>112</v>
      </c>
    </row>
    <row r="47" customFormat="false" ht="79.85" hidden="false" customHeight="false" outlineLevel="0" collapsed="false">
      <c r="A47" s="8" t="s">
        <v>386</v>
      </c>
      <c r="B47" s="8" t="s">
        <v>46</v>
      </c>
      <c r="C47" s="15" t="s">
        <v>6</v>
      </c>
      <c r="D47" s="8" t="s">
        <v>374</v>
      </c>
      <c r="E47" s="8" t="s">
        <v>387</v>
      </c>
      <c r="F47" s="12" t="s">
        <v>8</v>
      </c>
      <c r="G47" s="8" t="s">
        <v>388</v>
      </c>
      <c r="H47" s="11" t="s">
        <v>14</v>
      </c>
      <c r="I47" s="8" t="s">
        <v>389</v>
      </c>
      <c r="J47" s="8" t="s">
        <v>390</v>
      </c>
      <c r="K47" s="8" t="s">
        <v>52</v>
      </c>
      <c r="L47" s="8" t="s">
        <v>391</v>
      </c>
      <c r="M47" s="8" t="s">
        <v>63</v>
      </c>
      <c r="N47" s="8" t="s">
        <v>21</v>
      </c>
      <c r="O47" s="8" t="s">
        <v>392</v>
      </c>
    </row>
    <row r="48" customFormat="false" ht="57.45" hidden="false" customHeight="false" outlineLevel="0" collapsed="false">
      <c r="A48" s="8" t="s">
        <v>400</v>
      </c>
      <c r="B48" s="8" t="s">
        <v>46</v>
      </c>
      <c r="C48" s="15" t="s">
        <v>6</v>
      </c>
      <c r="D48" s="8" t="s">
        <v>374</v>
      </c>
      <c r="E48" s="8" t="s">
        <v>401</v>
      </c>
      <c r="F48" s="10" t="s">
        <v>9</v>
      </c>
      <c r="G48" s="8" t="s">
        <v>402</v>
      </c>
      <c r="H48" s="13" t="s">
        <v>15</v>
      </c>
      <c r="I48" s="8" t="s">
        <v>403</v>
      </c>
      <c r="J48" s="8" t="s">
        <v>404</v>
      </c>
      <c r="K48" s="8" t="s">
        <v>52</v>
      </c>
      <c r="L48" s="8" t="s">
        <v>405</v>
      </c>
      <c r="M48" s="8" t="s">
        <v>273</v>
      </c>
      <c r="N48" s="8" t="s">
        <v>22</v>
      </c>
      <c r="O48" s="8" t="s">
        <v>112</v>
      </c>
    </row>
    <row r="49" customFormat="false" ht="46.25" hidden="false" customHeight="false" outlineLevel="0" collapsed="false">
      <c r="A49" s="8" t="s">
        <v>406</v>
      </c>
      <c r="B49" s="8" t="s">
        <v>46</v>
      </c>
      <c r="C49" s="16" t="s">
        <v>7</v>
      </c>
      <c r="D49" s="8" t="s">
        <v>374</v>
      </c>
      <c r="E49" s="8" t="s">
        <v>407</v>
      </c>
      <c r="F49" s="10" t="s">
        <v>9</v>
      </c>
      <c r="G49" s="8" t="s">
        <v>408</v>
      </c>
      <c r="H49" s="11" t="s">
        <v>14</v>
      </c>
      <c r="I49" s="8" t="s">
        <v>409</v>
      </c>
      <c r="J49" s="8" t="s">
        <v>410</v>
      </c>
      <c r="K49" s="8" t="s">
        <v>52</v>
      </c>
      <c r="L49" s="8" t="s">
        <v>411</v>
      </c>
      <c r="M49" s="8" t="s">
        <v>54</v>
      </c>
      <c r="N49" s="8" t="s">
        <v>22</v>
      </c>
      <c r="O49" s="8" t="s">
        <v>112</v>
      </c>
    </row>
    <row r="50" customFormat="false" ht="57.45" hidden="false" customHeight="false" outlineLevel="0" collapsed="false">
      <c r="A50" s="8" t="s">
        <v>412</v>
      </c>
      <c r="B50" s="8" t="s">
        <v>46</v>
      </c>
      <c r="C50" s="16" t="s">
        <v>7</v>
      </c>
      <c r="D50" s="8" t="s">
        <v>374</v>
      </c>
      <c r="E50" s="8" t="s">
        <v>413</v>
      </c>
      <c r="F50" s="12" t="s">
        <v>8</v>
      </c>
      <c r="G50" s="8" t="s">
        <v>414</v>
      </c>
      <c r="H50" s="13" t="s">
        <v>15</v>
      </c>
      <c r="I50" s="8" t="s">
        <v>415</v>
      </c>
      <c r="J50" s="8" t="s">
        <v>416</v>
      </c>
      <c r="K50" s="8" t="s">
        <v>78</v>
      </c>
      <c r="L50" s="8" t="s">
        <v>417</v>
      </c>
      <c r="M50" s="8" t="s">
        <v>63</v>
      </c>
      <c r="N50" s="8" t="s">
        <v>21</v>
      </c>
      <c r="O50" s="8" t="s">
        <v>418</v>
      </c>
    </row>
    <row r="51" customFormat="false" ht="68.65" hidden="false" customHeight="false" outlineLevel="0" collapsed="false">
      <c r="A51" s="8" t="s">
        <v>419</v>
      </c>
      <c r="B51" s="8" t="s">
        <v>46</v>
      </c>
      <c r="C51" s="9" t="s">
        <v>4</v>
      </c>
      <c r="D51" s="8" t="s">
        <v>420</v>
      </c>
      <c r="E51" s="8" t="s">
        <v>421</v>
      </c>
      <c r="F51" s="10" t="s">
        <v>9</v>
      </c>
      <c r="G51" s="8" t="s">
        <v>422</v>
      </c>
      <c r="H51" s="11" t="s">
        <v>14</v>
      </c>
      <c r="I51" s="8" t="s">
        <v>423</v>
      </c>
      <c r="J51" s="8" t="s">
        <v>424</v>
      </c>
      <c r="K51" s="8" t="s">
        <v>52</v>
      </c>
      <c r="L51" s="8" t="s">
        <v>425</v>
      </c>
      <c r="M51" s="8" t="s">
        <v>54</v>
      </c>
      <c r="N51" s="8" t="s">
        <v>22</v>
      </c>
      <c r="O51" s="8" t="s">
        <v>426</v>
      </c>
    </row>
    <row r="52" customFormat="false" ht="68.65" hidden="false" customHeight="false" outlineLevel="0" collapsed="false">
      <c r="A52" s="8" t="s">
        <v>434</v>
      </c>
      <c r="B52" s="8" t="s">
        <v>46</v>
      </c>
      <c r="C52" s="14" t="s">
        <v>5</v>
      </c>
      <c r="D52" s="8" t="s">
        <v>420</v>
      </c>
      <c r="E52" s="8" t="s">
        <v>435</v>
      </c>
      <c r="F52" s="10" t="s">
        <v>9</v>
      </c>
      <c r="G52" s="8" t="s">
        <v>436</v>
      </c>
      <c r="H52" s="13" t="s">
        <v>15</v>
      </c>
      <c r="I52" s="8" t="s">
        <v>437</v>
      </c>
      <c r="J52" s="8" t="s">
        <v>438</v>
      </c>
      <c r="K52" s="8" t="s">
        <v>52</v>
      </c>
      <c r="L52" s="8" t="s">
        <v>439</v>
      </c>
      <c r="M52" s="8" t="s">
        <v>54</v>
      </c>
      <c r="N52" s="8" t="s">
        <v>22</v>
      </c>
      <c r="O52" s="8" t="s">
        <v>440</v>
      </c>
    </row>
    <row r="53" customFormat="false" ht="57.45" hidden="false" customHeight="false" outlineLevel="0" collapsed="false">
      <c r="A53" s="8" t="s">
        <v>441</v>
      </c>
      <c r="B53" s="8" t="s">
        <v>46</v>
      </c>
      <c r="C53" s="15" t="s">
        <v>6</v>
      </c>
      <c r="D53" s="8" t="s">
        <v>420</v>
      </c>
      <c r="E53" s="8" t="s">
        <v>442</v>
      </c>
      <c r="F53" s="10" t="s">
        <v>9</v>
      </c>
      <c r="G53" s="8" t="s">
        <v>443</v>
      </c>
      <c r="H53" s="13" t="s">
        <v>15</v>
      </c>
      <c r="I53" s="8" t="s">
        <v>444</v>
      </c>
      <c r="J53" s="8" t="s">
        <v>445</v>
      </c>
      <c r="K53" s="8" t="s">
        <v>52</v>
      </c>
      <c r="L53" s="8" t="s">
        <v>446</v>
      </c>
      <c r="M53" s="8" t="s">
        <v>54</v>
      </c>
      <c r="N53" s="8" t="s">
        <v>22</v>
      </c>
      <c r="O53" s="8" t="s">
        <v>447</v>
      </c>
    </row>
    <row r="54" customFormat="false" ht="57.45" hidden="false" customHeight="false" outlineLevel="0" collapsed="false">
      <c r="A54" s="8" t="s">
        <v>455</v>
      </c>
      <c r="B54" s="8" t="s">
        <v>46</v>
      </c>
      <c r="C54" s="15" t="s">
        <v>6</v>
      </c>
      <c r="D54" s="8" t="s">
        <v>420</v>
      </c>
      <c r="E54" s="8" t="s">
        <v>456</v>
      </c>
      <c r="F54" s="10" t="s">
        <v>9</v>
      </c>
      <c r="G54" s="8" t="s">
        <v>457</v>
      </c>
      <c r="H54" s="11" t="s">
        <v>14</v>
      </c>
      <c r="I54" s="8" t="s">
        <v>458</v>
      </c>
      <c r="J54" s="8" t="s">
        <v>459</v>
      </c>
      <c r="K54" s="8" t="s">
        <v>78</v>
      </c>
      <c r="L54" s="8" t="s">
        <v>460</v>
      </c>
      <c r="M54" s="8" t="s">
        <v>54</v>
      </c>
      <c r="N54" s="8" t="s">
        <v>22</v>
      </c>
      <c r="O54" s="8" t="s">
        <v>112</v>
      </c>
    </row>
    <row r="55" customFormat="false" ht="23.85" hidden="false" customHeight="false" outlineLevel="0" collapsed="false">
      <c r="A55" s="8" t="s">
        <v>466</v>
      </c>
      <c r="B55" s="8" t="s">
        <v>46</v>
      </c>
      <c r="C55" s="16" t="s">
        <v>7</v>
      </c>
      <c r="D55" s="8" t="s">
        <v>420</v>
      </c>
      <c r="E55" s="8" t="s">
        <v>467</v>
      </c>
      <c r="F55" s="19" t="s">
        <v>11</v>
      </c>
      <c r="G55" s="8" t="s">
        <v>468</v>
      </c>
      <c r="H55" s="11" t="s">
        <v>14</v>
      </c>
      <c r="I55" s="8" t="s">
        <v>469</v>
      </c>
      <c r="J55" s="8" t="s">
        <v>173</v>
      </c>
      <c r="K55" s="8" t="s">
        <v>78</v>
      </c>
      <c r="L55" s="8" t="s">
        <v>179</v>
      </c>
      <c r="M55" s="8" t="s">
        <v>329</v>
      </c>
      <c r="N55" s="8" t="s">
        <v>21</v>
      </c>
      <c r="O55" s="8" t="s">
        <v>112</v>
      </c>
    </row>
    <row r="56" customFormat="false" ht="68.65" hidden="false" customHeight="false" outlineLevel="0" collapsed="false">
      <c r="A56" s="8" t="s">
        <v>470</v>
      </c>
      <c r="B56" s="8" t="s">
        <v>46</v>
      </c>
      <c r="C56" s="9" t="s">
        <v>4</v>
      </c>
      <c r="D56" s="8" t="s">
        <v>471</v>
      </c>
      <c r="E56" s="8" t="s">
        <v>472</v>
      </c>
      <c r="F56" s="10" t="s">
        <v>9</v>
      </c>
      <c r="G56" s="8" t="s">
        <v>473</v>
      </c>
      <c r="H56" s="11" t="s">
        <v>14</v>
      </c>
      <c r="I56" s="8" t="s">
        <v>474</v>
      </c>
      <c r="J56" s="8" t="s">
        <v>475</v>
      </c>
      <c r="K56" s="8" t="s">
        <v>52</v>
      </c>
      <c r="L56" s="8" t="s">
        <v>476</v>
      </c>
      <c r="M56" s="8" t="s">
        <v>54</v>
      </c>
      <c r="N56" s="8" t="s">
        <v>22</v>
      </c>
      <c r="O56" s="8" t="s">
        <v>477</v>
      </c>
    </row>
    <row r="57" customFormat="false" ht="68.65" hidden="false" customHeight="false" outlineLevel="0" collapsed="false">
      <c r="A57" s="8" t="s">
        <v>485</v>
      </c>
      <c r="B57" s="8" t="s">
        <v>46</v>
      </c>
      <c r="C57" s="15" t="s">
        <v>6</v>
      </c>
      <c r="D57" s="8" t="s">
        <v>471</v>
      </c>
      <c r="E57" s="8" t="s">
        <v>486</v>
      </c>
      <c r="F57" s="12" t="s">
        <v>8</v>
      </c>
      <c r="G57" s="8" t="s">
        <v>487</v>
      </c>
      <c r="H57" s="13" t="s">
        <v>15</v>
      </c>
      <c r="I57" s="8" t="s">
        <v>488</v>
      </c>
      <c r="J57" s="8" t="s">
        <v>489</v>
      </c>
      <c r="K57" s="8" t="s">
        <v>52</v>
      </c>
      <c r="L57" s="8" t="s">
        <v>490</v>
      </c>
      <c r="M57" s="8" t="s">
        <v>63</v>
      </c>
      <c r="N57" s="8" t="s">
        <v>21</v>
      </c>
      <c r="O57" s="8" t="s">
        <v>491</v>
      </c>
    </row>
    <row r="58" customFormat="false" ht="23.85" hidden="false" customHeight="false" outlineLevel="0" collapsed="false">
      <c r="A58" s="8" t="s">
        <v>492</v>
      </c>
      <c r="B58" s="8" t="s">
        <v>46</v>
      </c>
      <c r="C58" s="15" t="s">
        <v>6</v>
      </c>
      <c r="D58" s="8" t="s">
        <v>471</v>
      </c>
      <c r="E58" s="8" t="s">
        <v>493</v>
      </c>
      <c r="F58" s="19" t="s">
        <v>11</v>
      </c>
      <c r="G58" s="8" t="s">
        <v>494</v>
      </c>
      <c r="H58" s="11" t="s">
        <v>14</v>
      </c>
      <c r="I58" s="8" t="s">
        <v>495</v>
      </c>
      <c r="J58" s="8" t="s">
        <v>173</v>
      </c>
      <c r="K58" s="8" t="s">
        <v>78</v>
      </c>
      <c r="L58" s="8" t="s">
        <v>179</v>
      </c>
      <c r="M58" s="8" t="s">
        <v>329</v>
      </c>
      <c r="N58" s="8" t="s">
        <v>21</v>
      </c>
      <c r="O58" s="8" t="s">
        <v>112</v>
      </c>
    </row>
    <row r="59" customFormat="false" ht="46.25" hidden="false" customHeight="false" outlineLevel="0" collapsed="false">
      <c r="A59" s="8" t="s">
        <v>496</v>
      </c>
      <c r="B59" s="8" t="s">
        <v>46</v>
      </c>
      <c r="C59" s="16" t="s">
        <v>7</v>
      </c>
      <c r="D59" s="8" t="s">
        <v>471</v>
      </c>
      <c r="E59" s="8" t="s">
        <v>497</v>
      </c>
      <c r="F59" s="19" t="s">
        <v>11</v>
      </c>
      <c r="G59" s="8" t="s">
        <v>498</v>
      </c>
      <c r="H59" s="11" t="s">
        <v>14</v>
      </c>
      <c r="I59" s="8" t="s">
        <v>499</v>
      </c>
      <c r="J59" s="8" t="s">
        <v>500</v>
      </c>
      <c r="K59" s="8" t="s">
        <v>52</v>
      </c>
      <c r="L59" s="8" t="s">
        <v>179</v>
      </c>
      <c r="M59" s="8" t="s">
        <v>329</v>
      </c>
      <c r="N59" s="8" t="s">
        <v>21</v>
      </c>
      <c r="O59" s="8" t="s">
        <v>112</v>
      </c>
    </row>
    <row r="60" customFormat="false" ht="35.05" hidden="false" customHeight="false" outlineLevel="0" collapsed="false">
      <c r="A60" s="8" t="s">
        <v>501</v>
      </c>
      <c r="B60" s="8" t="s">
        <v>46</v>
      </c>
      <c r="C60" s="16" t="s">
        <v>7</v>
      </c>
      <c r="D60" s="8" t="s">
        <v>471</v>
      </c>
      <c r="E60" s="8" t="s">
        <v>502</v>
      </c>
      <c r="F60" s="19" t="s">
        <v>11</v>
      </c>
      <c r="G60" s="8" t="s">
        <v>503</v>
      </c>
      <c r="H60" s="11" t="s">
        <v>14</v>
      </c>
      <c r="I60" s="8" t="s">
        <v>504</v>
      </c>
      <c r="J60" s="8" t="s">
        <v>173</v>
      </c>
      <c r="K60" s="8" t="s">
        <v>78</v>
      </c>
      <c r="L60" s="8" t="s">
        <v>179</v>
      </c>
      <c r="M60" s="8" t="s">
        <v>329</v>
      </c>
      <c r="N60" s="8" t="s">
        <v>21</v>
      </c>
      <c r="O60" s="8" t="s">
        <v>112</v>
      </c>
    </row>
    <row r="61" customFormat="false" ht="57.45" hidden="false" customHeight="false" outlineLevel="0" collapsed="false">
      <c r="A61" s="8" t="s">
        <v>505</v>
      </c>
      <c r="B61" s="8" t="s">
        <v>46</v>
      </c>
      <c r="C61" s="16" t="s">
        <v>7</v>
      </c>
      <c r="D61" s="8" t="s">
        <v>471</v>
      </c>
      <c r="E61" s="8" t="s">
        <v>506</v>
      </c>
      <c r="F61" s="12" t="s">
        <v>8</v>
      </c>
      <c r="G61" s="8" t="s">
        <v>507</v>
      </c>
      <c r="H61" s="11" t="s">
        <v>14</v>
      </c>
      <c r="I61" s="8" t="s">
        <v>508</v>
      </c>
      <c r="J61" s="8" t="s">
        <v>509</v>
      </c>
      <c r="K61" s="8" t="s">
        <v>52</v>
      </c>
      <c r="L61" s="8" t="s">
        <v>154</v>
      </c>
      <c r="M61" s="8" t="s">
        <v>63</v>
      </c>
      <c r="N61" s="8" t="s">
        <v>21</v>
      </c>
      <c r="O61" s="8" t="s">
        <v>510</v>
      </c>
    </row>
    <row r="62" customFormat="false" ht="46.25" hidden="false" customHeight="false" outlineLevel="0" collapsed="false">
      <c r="A62" s="8" t="s">
        <v>511</v>
      </c>
      <c r="B62" s="8" t="s">
        <v>46</v>
      </c>
      <c r="C62" s="9" t="s">
        <v>4</v>
      </c>
      <c r="D62" s="8" t="s">
        <v>512</v>
      </c>
      <c r="E62" s="8" t="s">
        <v>513</v>
      </c>
      <c r="F62" s="12" t="s">
        <v>8</v>
      </c>
      <c r="G62" s="8" t="s">
        <v>514</v>
      </c>
      <c r="H62" s="11" t="s">
        <v>14</v>
      </c>
      <c r="I62" s="8" t="s">
        <v>515</v>
      </c>
      <c r="J62" s="8" t="s">
        <v>516</v>
      </c>
      <c r="K62" s="8" t="s">
        <v>52</v>
      </c>
      <c r="L62" s="8" t="s">
        <v>154</v>
      </c>
      <c r="M62" s="8" t="s">
        <v>63</v>
      </c>
      <c r="N62" s="8" t="s">
        <v>21</v>
      </c>
      <c r="O62" s="8" t="s">
        <v>112</v>
      </c>
    </row>
    <row r="63" customFormat="false" ht="46.25" hidden="false" customHeight="false" outlineLevel="0" collapsed="false">
      <c r="A63" s="8" t="s">
        <v>517</v>
      </c>
      <c r="B63" s="8" t="s">
        <v>46</v>
      </c>
      <c r="C63" s="9" t="s">
        <v>4</v>
      </c>
      <c r="D63" s="8" t="s">
        <v>518</v>
      </c>
      <c r="E63" s="8" t="s">
        <v>519</v>
      </c>
      <c r="F63" s="12" t="s">
        <v>8</v>
      </c>
      <c r="G63" s="8" t="s">
        <v>520</v>
      </c>
      <c r="H63" s="13" t="s">
        <v>15</v>
      </c>
      <c r="I63" s="8" t="s">
        <v>521</v>
      </c>
      <c r="J63" s="8" t="s">
        <v>522</v>
      </c>
      <c r="K63" s="8" t="s">
        <v>78</v>
      </c>
      <c r="L63" s="8" t="s">
        <v>523</v>
      </c>
      <c r="M63" s="8" t="s">
        <v>63</v>
      </c>
      <c r="N63" s="8" t="s">
        <v>21</v>
      </c>
      <c r="O63" s="8" t="s">
        <v>112</v>
      </c>
    </row>
    <row r="64" customFormat="false" ht="68.65" hidden="false" customHeight="false" outlineLevel="0" collapsed="false">
      <c r="A64" s="8" t="s">
        <v>524</v>
      </c>
      <c r="B64" s="8" t="s">
        <v>46</v>
      </c>
      <c r="C64" s="14" t="s">
        <v>5</v>
      </c>
      <c r="D64" s="8" t="s">
        <v>512</v>
      </c>
      <c r="E64" s="8" t="s">
        <v>525</v>
      </c>
      <c r="F64" s="12" t="s">
        <v>8</v>
      </c>
      <c r="G64" s="8" t="s">
        <v>526</v>
      </c>
      <c r="H64" s="13" t="s">
        <v>15</v>
      </c>
      <c r="I64" s="8" t="s">
        <v>527</v>
      </c>
      <c r="J64" s="8" t="s">
        <v>528</v>
      </c>
      <c r="K64" s="8" t="s">
        <v>52</v>
      </c>
      <c r="L64" s="8" t="s">
        <v>529</v>
      </c>
      <c r="M64" s="8" t="s">
        <v>63</v>
      </c>
      <c r="N64" s="8" t="s">
        <v>21</v>
      </c>
      <c r="O64" s="8" t="s">
        <v>112</v>
      </c>
    </row>
    <row r="65" customFormat="false" ht="57.45" hidden="false" customHeight="false" outlineLevel="0" collapsed="false">
      <c r="A65" s="8" t="s">
        <v>537</v>
      </c>
      <c r="B65" s="8" t="s">
        <v>46</v>
      </c>
      <c r="C65" s="14" t="s">
        <v>5</v>
      </c>
      <c r="D65" s="8" t="s">
        <v>512</v>
      </c>
      <c r="E65" s="8" t="s">
        <v>538</v>
      </c>
      <c r="F65" s="12" t="s">
        <v>8</v>
      </c>
      <c r="G65" s="8" t="s">
        <v>539</v>
      </c>
      <c r="H65" s="11" t="s">
        <v>14</v>
      </c>
      <c r="I65" s="8" t="s">
        <v>540</v>
      </c>
      <c r="J65" s="8" t="s">
        <v>541</v>
      </c>
      <c r="K65" s="8" t="s">
        <v>78</v>
      </c>
      <c r="L65" s="8" t="s">
        <v>542</v>
      </c>
      <c r="M65" s="8" t="s">
        <v>63</v>
      </c>
      <c r="N65" s="8" t="s">
        <v>21</v>
      </c>
      <c r="O65" s="8" t="s">
        <v>543</v>
      </c>
    </row>
    <row r="66" customFormat="false" ht="68.65" hidden="false" customHeight="false" outlineLevel="0" collapsed="false">
      <c r="A66" s="8" t="s">
        <v>544</v>
      </c>
      <c r="B66" s="8" t="s">
        <v>46</v>
      </c>
      <c r="C66" s="14" t="s">
        <v>5</v>
      </c>
      <c r="D66" s="8" t="s">
        <v>518</v>
      </c>
      <c r="E66" s="8" t="s">
        <v>545</v>
      </c>
      <c r="F66" s="12" t="s">
        <v>8</v>
      </c>
      <c r="G66" s="8" t="s">
        <v>546</v>
      </c>
      <c r="H66" s="13" t="s">
        <v>15</v>
      </c>
      <c r="I66" s="8" t="s">
        <v>547</v>
      </c>
      <c r="J66" s="8" t="s">
        <v>548</v>
      </c>
      <c r="K66" s="8" t="s">
        <v>78</v>
      </c>
      <c r="L66" s="8" t="s">
        <v>549</v>
      </c>
      <c r="M66" s="8" t="s">
        <v>63</v>
      </c>
      <c r="N66" s="8" t="s">
        <v>21</v>
      </c>
      <c r="O66" s="8" t="s">
        <v>550</v>
      </c>
    </row>
    <row r="67" customFormat="false" ht="68.65" hidden="false" customHeight="false" outlineLevel="0" collapsed="false">
      <c r="A67" s="8" t="s">
        <v>551</v>
      </c>
      <c r="B67" s="8" t="s">
        <v>46</v>
      </c>
      <c r="C67" s="14" t="s">
        <v>5</v>
      </c>
      <c r="D67" s="8" t="s">
        <v>552</v>
      </c>
      <c r="E67" s="8" t="s">
        <v>553</v>
      </c>
      <c r="F67" s="12" t="s">
        <v>8</v>
      </c>
      <c r="G67" s="8" t="s">
        <v>554</v>
      </c>
      <c r="H67" s="13" t="s">
        <v>15</v>
      </c>
      <c r="I67" s="8" t="s">
        <v>555</v>
      </c>
      <c r="J67" s="8" t="s">
        <v>556</v>
      </c>
      <c r="K67" s="8" t="s">
        <v>78</v>
      </c>
      <c r="L67" s="8" t="s">
        <v>557</v>
      </c>
      <c r="M67" s="8" t="s">
        <v>63</v>
      </c>
      <c r="N67" s="8" t="s">
        <v>21</v>
      </c>
      <c r="O67" s="8" t="s">
        <v>558</v>
      </c>
    </row>
    <row r="68" customFormat="false" ht="57.45" hidden="false" customHeight="false" outlineLevel="0" collapsed="false">
      <c r="A68" s="8" t="s">
        <v>559</v>
      </c>
      <c r="B68" s="8" t="s">
        <v>46</v>
      </c>
      <c r="C68" s="15" t="s">
        <v>6</v>
      </c>
      <c r="D68" s="8" t="s">
        <v>560</v>
      </c>
      <c r="E68" s="8" t="s">
        <v>561</v>
      </c>
      <c r="F68" s="12" t="s">
        <v>8</v>
      </c>
      <c r="G68" s="8" t="s">
        <v>562</v>
      </c>
      <c r="H68" s="13" t="s">
        <v>15</v>
      </c>
      <c r="I68" s="8" t="s">
        <v>563</v>
      </c>
      <c r="J68" s="8" t="s">
        <v>564</v>
      </c>
      <c r="K68" s="8" t="s">
        <v>78</v>
      </c>
      <c r="L68" s="8" t="s">
        <v>154</v>
      </c>
      <c r="M68" s="8" t="s">
        <v>63</v>
      </c>
      <c r="N68" s="8" t="s">
        <v>21</v>
      </c>
      <c r="O68" s="8" t="s">
        <v>112</v>
      </c>
    </row>
    <row r="69" customFormat="false" ht="68.65" hidden="false" customHeight="false" outlineLevel="0" collapsed="false">
      <c r="A69" s="8" t="s">
        <v>565</v>
      </c>
      <c r="B69" s="8" t="s">
        <v>46</v>
      </c>
      <c r="C69" s="15" t="s">
        <v>6</v>
      </c>
      <c r="D69" s="8" t="s">
        <v>566</v>
      </c>
      <c r="E69" s="8" t="s">
        <v>567</v>
      </c>
      <c r="F69" s="12" t="s">
        <v>8</v>
      </c>
      <c r="G69" s="8" t="s">
        <v>568</v>
      </c>
      <c r="H69" s="13" t="s">
        <v>15</v>
      </c>
      <c r="I69" s="8" t="s">
        <v>569</v>
      </c>
      <c r="J69" s="8" t="s">
        <v>570</v>
      </c>
      <c r="K69" s="8" t="s">
        <v>78</v>
      </c>
      <c r="L69" s="8" t="s">
        <v>571</v>
      </c>
      <c r="M69" s="8" t="s">
        <v>288</v>
      </c>
      <c r="N69" s="8" t="s">
        <v>21</v>
      </c>
      <c r="O69" s="8" t="s">
        <v>572</v>
      </c>
    </row>
    <row r="70" customFormat="false" ht="68.65" hidden="false" customHeight="false" outlineLevel="0" collapsed="false">
      <c r="A70" s="8" t="s">
        <v>573</v>
      </c>
      <c r="B70" s="8" t="s">
        <v>46</v>
      </c>
      <c r="C70" s="9" t="s">
        <v>4</v>
      </c>
      <c r="D70" s="8" t="s">
        <v>574</v>
      </c>
      <c r="E70" s="8" t="s">
        <v>575</v>
      </c>
      <c r="F70" s="12" t="s">
        <v>8</v>
      </c>
      <c r="G70" s="8" t="s">
        <v>576</v>
      </c>
      <c r="H70" s="11" t="s">
        <v>14</v>
      </c>
      <c r="I70" s="8" t="s">
        <v>577</v>
      </c>
      <c r="J70" s="8" t="s">
        <v>578</v>
      </c>
      <c r="K70" s="8" t="s">
        <v>52</v>
      </c>
      <c r="L70" s="8" t="s">
        <v>579</v>
      </c>
      <c r="M70" s="8" t="s">
        <v>288</v>
      </c>
      <c r="N70" s="8" t="s">
        <v>21</v>
      </c>
      <c r="O70" s="8" t="s">
        <v>580</v>
      </c>
    </row>
    <row r="71" customFormat="false" ht="68.65" hidden="false" customHeight="false" outlineLevel="0" collapsed="false">
      <c r="A71" s="8" t="s">
        <v>581</v>
      </c>
      <c r="B71" s="8" t="s">
        <v>574</v>
      </c>
      <c r="C71" s="9" t="s">
        <v>4</v>
      </c>
      <c r="D71" s="8" t="s">
        <v>574</v>
      </c>
      <c r="E71" s="8" t="s">
        <v>582</v>
      </c>
      <c r="F71" s="10" t="s">
        <v>9</v>
      </c>
      <c r="G71" s="8" t="s">
        <v>583</v>
      </c>
      <c r="H71" s="13" t="s">
        <v>15</v>
      </c>
      <c r="I71" s="8" t="s">
        <v>584</v>
      </c>
      <c r="J71" s="8" t="s">
        <v>585</v>
      </c>
      <c r="K71" s="8" t="s">
        <v>52</v>
      </c>
      <c r="L71" s="8" t="s">
        <v>586</v>
      </c>
      <c r="M71" s="8" t="s">
        <v>273</v>
      </c>
      <c r="N71" s="8" t="s">
        <v>22</v>
      </c>
      <c r="O71" s="8" t="s">
        <v>587</v>
      </c>
    </row>
    <row r="72" customFormat="false" ht="68.65" hidden="false" customHeight="false" outlineLevel="0" collapsed="false">
      <c r="A72" s="8" t="s">
        <v>588</v>
      </c>
      <c r="B72" s="8" t="s">
        <v>46</v>
      </c>
      <c r="C72" s="14" t="s">
        <v>5</v>
      </c>
      <c r="D72" s="8" t="s">
        <v>574</v>
      </c>
      <c r="E72" s="8" t="s">
        <v>589</v>
      </c>
      <c r="F72" s="10" t="s">
        <v>9</v>
      </c>
      <c r="G72" s="8" t="s">
        <v>590</v>
      </c>
      <c r="H72" s="13" t="s">
        <v>15</v>
      </c>
      <c r="I72" s="8" t="s">
        <v>591</v>
      </c>
      <c r="J72" s="8" t="s">
        <v>173</v>
      </c>
      <c r="K72" s="8" t="s">
        <v>78</v>
      </c>
      <c r="L72" s="8" t="s">
        <v>592</v>
      </c>
      <c r="M72" s="8" t="s">
        <v>273</v>
      </c>
      <c r="N72" s="8" t="s">
        <v>22</v>
      </c>
      <c r="O72" s="8" t="s">
        <v>593</v>
      </c>
    </row>
    <row r="73" customFormat="false" ht="57.45" hidden="false" customHeight="false" outlineLevel="0" collapsed="false">
      <c r="A73" s="8" t="s">
        <v>594</v>
      </c>
      <c r="B73" s="8" t="s">
        <v>46</v>
      </c>
      <c r="C73" s="14" t="s">
        <v>5</v>
      </c>
      <c r="D73" s="8" t="s">
        <v>574</v>
      </c>
      <c r="E73" s="8" t="s">
        <v>595</v>
      </c>
      <c r="F73" s="10" t="s">
        <v>9</v>
      </c>
      <c r="G73" s="8" t="s">
        <v>596</v>
      </c>
      <c r="H73" s="13" t="s">
        <v>15</v>
      </c>
      <c r="I73" s="8" t="s">
        <v>597</v>
      </c>
      <c r="J73" s="8" t="s">
        <v>173</v>
      </c>
      <c r="K73" s="8" t="s">
        <v>78</v>
      </c>
      <c r="L73" s="8" t="s">
        <v>598</v>
      </c>
      <c r="M73" s="8" t="s">
        <v>273</v>
      </c>
      <c r="N73" s="8" t="s">
        <v>22</v>
      </c>
      <c r="O73" s="8" t="s">
        <v>599</v>
      </c>
    </row>
    <row r="74" customFormat="false" ht="57.45" hidden="false" customHeight="false" outlineLevel="0" collapsed="false">
      <c r="A74" s="8" t="s">
        <v>600</v>
      </c>
      <c r="B74" s="8" t="s">
        <v>46</v>
      </c>
      <c r="C74" s="14" t="s">
        <v>5</v>
      </c>
      <c r="D74" s="8" t="s">
        <v>574</v>
      </c>
      <c r="E74" s="8" t="s">
        <v>601</v>
      </c>
      <c r="F74" s="10" t="s">
        <v>9</v>
      </c>
      <c r="G74" s="8" t="s">
        <v>602</v>
      </c>
      <c r="H74" s="11" t="s">
        <v>14</v>
      </c>
      <c r="I74" s="8" t="s">
        <v>603</v>
      </c>
      <c r="J74" s="8" t="s">
        <v>604</v>
      </c>
      <c r="K74" s="8" t="s">
        <v>52</v>
      </c>
      <c r="L74" s="8" t="s">
        <v>605</v>
      </c>
      <c r="M74" s="8" t="s">
        <v>54</v>
      </c>
      <c r="N74" s="8" t="s">
        <v>22</v>
      </c>
      <c r="O74" s="8" t="s">
        <v>606</v>
      </c>
    </row>
    <row r="75" customFormat="false" ht="57.45" hidden="false" customHeight="false" outlineLevel="0" collapsed="false">
      <c r="A75" s="8" t="s">
        <v>607</v>
      </c>
      <c r="B75" s="8" t="s">
        <v>46</v>
      </c>
      <c r="C75" s="15" t="s">
        <v>6</v>
      </c>
      <c r="D75" s="8" t="s">
        <v>574</v>
      </c>
      <c r="E75" s="8" t="s">
        <v>608</v>
      </c>
      <c r="F75" s="12" t="s">
        <v>8</v>
      </c>
      <c r="G75" s="8" t="s">
        <v>609</v>
      </c>
      <c r="H75" s="13" t="s">
        <v>15</v>
      </c>
      <c r="I75" s="8" t="s">
        <v>610</v>
      </c>
      <c r="J75" s="8" t="s">
        <v>173</v>
      </c>
      <c r="K75" s="8" t="s">
        <v>78</v>
      </c>
      <c r="L75" s="8" t="s">
        <v>611</v>
      </c>
      <c r="M75" s="8" t="s">
        <v>288</v>
      </c>
      <c r="N75" s="8" t="s">
        <v>21</v>
      </c>
      <c r="O75" s="8" t="s">
        <v>112</v>
      </c>
    </row>
    <row r="76" customFormat="false" ht="57.45" hidden="false" customHeight="false" outlineLevel="0" collapsed="false">
      <c r="A76" s="8" t="s">
        <v>612</v>
      </c>
      <c r="B76" s="8" t="s">
        <v>46</v>
      </c>
      <c r="C76" s="15" t="s">
        <v>6</v>
      </c>
      <c r="D76" s="8" t="s">
        <v>574</v>
      </c>
      <c r="E76" s="8" t="s">
        <v>613</v>
      </c>
      <c r="F76" s="10" t="s">
        <v>9</v>
      </c>
      <c r="G76" s="8" t="s">
        <v>614</v>
      </c>
      <c r="H76" s="13" t="s">
        <v>15</v>
      </c>
      <c r="I76" s="8" t="s">
        <v>615</v>
      </c>
      <c r="J76" s="8" t="s">
        <v>173</v>
      </c>
      <c r="K76" s="8" t="s">
        <v>78</v>
      </c>
      <c r="L76" s="8" t="s">
        <v>616</v>
      </c>
      <c r="M76" s="8" t="s">
        <v>273</v>
      </c>
      <c r="N76" s="8" t="s">
        <v>22</v>
      </c>
      <c r="O76" s="8" t="s">
        <v>617</v>
      </c>
    </row>
    <row r="77" customFormat="false" ht="57.45" hidden="false" customHeight="false" outlineLevel="0" collapsed="false">
      <c r="A77" s="8" t="s">
        <v>629</v>
      </c>
      <c r="B77" s="8" t="s">
        <v>46</v>
      </c>
      <c r="C77" s="16" t="s">
        <v>7</v>
      </c>
      <c r="D77" s="8" t="s">
        <v>574</v>
      </c>
      <c r="E77" s="8" t="s">
        <v>630</v>
      </c>
      <c r="F77" s="20" t="s">
        <v>10</v>
      </c>
      <c r="G77" s="8" t="s">
        <v>631</v>
      </c>
      <c r="H77" s="13" t="s">
        <v>15</v>
      </c>
      <c r="I77" s="8" t="s">
        <v>632</v>
      </c>
      <c r="J77" s="8" t="s">
        <v>633</v>
      </c>
      <c r="K77" s="8" t="s">
        <v>52</v>
      </c>
      <c r="L77" s="8" t="s">
        <v>634</v>
      </c>
      <c r="M77" s="8" t="s">
        <v>54</v>
      </c>
      <c r="N77" s="8" t="s">
        <v>23</v>
      </c>
      <c r="O77" s="8" t="s">
        <v>635</v>
      </c>
    </row>
    <row r="78" customFormat="false" ht="68.65" hidden="false" customHeight="false" outlineLevel="0" collapsed="false">
      <c r="A78" s="8" t="s">
        <v>647</v>
      </c>
      <c r="B78" s="8" t="s">
        <v>46</v>
      </c>
      <c r="C78" s="14" t="s">
        <v>5</v>
      </c>
      <c r="D78" s="8" t="s">
        <v>574</v>
      </c>
      <c r="E78" s="8" t="s">
        <v>648</v>
      </c>
      <c r="F78" s="10" t="s">
        <v>9</v>
      </c>
      <c r="G78" s="8" t="s">
        <v>649</v>
      </c>
      <c r="H78" s="13" t="s">
        <v>15</v>
      </c>
      <c r="I78" s="8" t="s">
        <v>650</v>
      </c>
      <c r="J78" s="8" t="s">
        <v>651</v>
      </c>
      <c r="K78" s="8" t="s">
        <v>52</v>
      </c>
      <c r="L78" s="8" t="s">
        <v>652</v>
      </c>
      <c r="M78" s="8" t="s">
        <v>273</v>
      </c>
      <c r="N78" s="8" t="s">
        <v>22</v>
      </c>
      <c r="O78" s="8" t="s">
        <v>112</v>
      </c>
    </row>
    <row r="79" customFormat="false" ht="57.45" hidden="false" customHeight="false" outlineLevel="0" collapsed="false">
      <c r="A79" s="8" t="s">
        <v>653</v>
      </c>
      <c r="B79" s="8" t="s">
        <v>46</v>
      </c>
      <c r="C79" s="14" t="s">
        <v>5</v>
      </c>
      <c r="D79" s="8" t="s">
        <v>574</v>
      </c>
      <c r="E79" s="8" t="s">
        <v>654</v>
      </c>
      <c r="F79" s="10" t="s">
        <v>9</v>
      </c>
      <c r="G79" s="8" t="s">
        <v>655</v>
      </c>
      <c r="H79" s="13" t="s">
        <v>15</v>
      </c>
      <c r="I79" s="8" t="s">
        <v>656</v>
      </c>
      <c r="J79" s="8" t="s">
        <v>657</v>
      </c>
      <c r="K79" s="8" t="s">
        <v>52</v>
      </c>
      <c r="L79" s="8" t="s">
        <v>658</v>
      </c>
      <c r="M79" s="8" t="s">
        <v>273</v>
      </c>
      <c r="N79" s="8" t="s">
        <v>22</v>
      </c>
      <c r="O79" s="8" t="s">
        <v>112</v>
      </c>
    </row>
    <row r="80" customFormat="false" ht="68.65" hidden="false" customHeight="false" outlineLevel="0" collapsed="false">
      <c r="A80" s="8" t="s">
        <v>659</v>
      </c>
      <c r="B80" s="8" t="s">
        <v>46</v>
      </c>
      <c r="C80" s="15" t="s">
        <v>6</v>
      </c>
      <c r="D80" s="8" t="s">
        <v>574</v>
      </c>
      <c r="E80" s="8" t="s">
        <v>660</v>
      </c>
      <c r="F80" s="10" t="s">
        <v>9</v>
      </c>
      <c r="G80" s="8" t="s">
        <v>661</v>
      </c>
      <c r="H80" s="13" t="s">
        <v>15</v>
      </c>
      <c r="I80" s="8" t="s">
        <v>662</v>
      </c>
      <c r="J80" s="8" t="s">
        <v>173</v>
      </c>
      <c r="K80" s="8" t="s">
        <v>78</v>
      </c>
      <c r="L80" s="8" t="s">
        <v>663</v>
      </c>
      <c r="M80" s="8" t="s">
        <v>273</v>
      </c>
      <c r="N80" s="8" t="s">
        <v>22</v>
      </c>
      <c r="O80" s="8" t="s">
        <v>664</v>
      </c>
    </row>
    <row r="81" customFormat="false" ht="57.45" hidden="false" customHeight="false" outlineLevel="0" collapsed="false">
      <c r="A81" s="8" t="s">
        <v>665</v>
      </c>
      <c r="B81" s="8" t="s">
        <v>46</v>
      </c>
      <c r="C81" s="15" t="s">
        <v>6</v>
      </c>
      <c r="D81" s="8" t="s">
        <v>574</v>
      </c>
      <c r="E81" s="8" t="s">
        <v>666</v>
      </c>
      <c r="F81" s="10" t="s">
        <v>9</v>
      </c>
      <c r="G81" s="8" t="s">
        <v>667</v>
      </c>
      <c r="H81" s="13" t="s">
        <v>15</v>
      </c>
      <c r="I81" s="8" t="s">
        <v>668</v>
      </c>
      <c r="J81" s="8" t="s">
        <v>669</v>
      </c>
      <c r="K81" s="8" t="s">
        <v>52</v>
      </c>
      <c r="L81" s="8" t="s">
        <v>670</v>
      </c>
      <c r="M81" s="8" t="s">
        <v>54</v>
      </c>
      <c r="N81" s="8" t="s">
        <v>22</v>
      </c>
      <c r="O81" s="8" t="s">
        <v>112</v>
      </c>
    </row>
    <row r="82" customFormat="false" ht="57.45" hidden="false" customHeight="false" outlineLevel="0" collapsed="false">
      <c r="A82" s="8" t="s">
        <v>671</v>
      </c>
      <c r="B82" s="8" t="s">
        <v>46</v>
      </c>
      <c r="C82" s="16" t="s">
        <v>7</v>
      </c>
      <c r="D82" s="8" t="s">
        <v>574</v>
      </c>
      <c r="E82" s="8" t="s">
        <v>672</v>
      </c>
      <c r="F82" s="10" t="s">
        <v>9</v>
      </c>
      <c r="G82" s="8" t="s">
        <v>673</v>
      </c>
      <c r="H82" s="11" t="s">
        <v>14</v>
      </c>
      <c r="I82" s="8" t="s">
        <v>674</v>
      </c>
      <c r="J82" s="8" t="s">
        <v>173</v>
      </c>
      <c r="K82" s="8" t="s">
        <v>78</v>
      </c>
      <c r="L82" s="8" t="s">
        <v>675</v>
      </c>
      <c r="M82" s="8" t="s">
        <v>273</v>
      </c>
      <c r="N82" s="18" t="s">
        <v>25</v>
      </c>
      <c r="O82" s="8" t="s">
        <v>676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10"/>
    <col collapsed="false" customWidth="true" hidden="false" outlineLevel="0" max="4" min="4" style="0" width="18"/>
    <col collapsed="false" customWidth="true" hidden="false" outlineLevel="0" max="5" min="5" style="0" width="50"/>
    <col collapsed="false" customWidth="true" hidden="false" outlineLevel="0" max="6" min="6" style="0" width="14"/>
    <col collapsed="false" customWidth="true" hidden="false" outlineLevel="0" max="7" min="7" style="0" width="50"/>
    <col collapsed="false" customWidth="true" hidden="false" outlineLevel="0" max="8" min="8" style="0" width="16"/>
    <col collapsed="false" customWidth="true" hidden="false" outlineLevel="0" max="9" min="9" style="0" width="45"/>
    <col collapsed="false" customWidth="true" hidden="false" outlineLevel="0" max="10" min="10" style="0" width="50"/>
    <col collapsed="false" customWidth="true" hidden="false" outlineLevel="0" max="11" min="11" style="0" width="10"/>
    <col collapsed="false" customWidth="true" hidden="false" outlineLevel="0" max="12" min="12" style="0" width="50"/>
    <col collapsed="false" customWidth="true" hidden="false" outlineLevel="0" max="13" min="13" style="0" width="22"/>
    <col collapsed="false" customWidth="true" hidden="false" outlineLevel="0" max="14" min="14" style="0" width="18"/>
    <col collapsed="false" customWidth="true" hidden="false" outlineLevel="0" max="15" min="15" style="0" width="45"/>
  </cols>
  <sheetData>
    <row r="1" customFormat="false" ht="17.35" hidden="false" customHeight="false" outlineLevel="0" collapsed="false">
      <c r="A1" s="1" t="s">
        <v>42</v>
      </c>
    </row>
    <row r="2" customFormat="false" ht="15" hidden="false" customHeight="false" outlineLevel="0" collapsed="false">
      <c r="A2" s="6" t="s">
        <v>782</v>
      </c>
    </row>
    <row r="4" customFormat="false" ht="35.05" hidden="false" customHeight="false" outlineLevel="0" collapsed="false">
      <c r="A4" s="7" t="s">
        <v>31</v>
      </c>
      <c r="B4" s="7" t="s">
        <v>32</v>
      </c>
      <c r="C4" s="7" t="s">
        <v>33</v>
      </c>
      <c r="D4" s="7" t="s">
        <v>34</v>
      </c>
      <c r="E4" s="7" t="s">
        <v>35</v>
      </c>
      <c r="F4" s="7" t="s">
        <v>36</v>
      </c>
      <c r="G4" s="7" t="s">
        <v>37</v>
      </c>
      <c r="H4" s="7" t="s">
        <v>38</v>
      </c>
      <c r="I4" s="7" t="s">
        <v>39</v>
      </c>
      <c r="J4" s="7" t="s">
        <v>40</v>
      </c>
      <c r="K4" s="7" t="s">
        <v>41</v>
      </c>
      <c r="L4" s="7" t="s">
        <v>42</v>
      </c>
      <c r="M4" s="7" t="s">
        <v>43</v>
      </c>
      <c r="N4" s="7" t="s">
        <v>18</v>
      </c>
      <c r="O4" s="7" t="s">
        <v>44</v>
      </c>
    </row>
    <row r="5" customFormat="false" ht="91" hidden="false" customHeight="false" outlineLevel="0" collapsed="false">
      <c r="A5" s="8" t="s">
        <v>45</v>
      </c>
      <c r="B5" s="8" t="s">
        <v>46</v>
      </c>
      <c r="C5" s="9" t="s">
        <v>4</v>
      </c>
      <c r="D5" s="8" t="s">
        <v>47</v>
      </c>
      <c r="E5" s="8" t="s">
        <v>48</v>
      </c>
      <c r="F5" s="10" t="s">
        <v>9</v>
      </c>
      <c r="G5" s="8" t="s">
        <v>49</v>
      </c>
      <c r="H5" s="11" t="s">
        <v>14</v>
      </c>
      <c r="I5" s="8" t="s">
        <v>50</v>
      </c>
      <c r="J5" s="8" t="s">
        <v>51</v>
      </c>
      <c r="K5" s="8" t="s">
        <v>52</v>
      </c>
      <c r="L5" s="8" t="s">
        <v>53</v>
      </c>
      <c r="M5" s="8" t="s">
        <v>54</v>
      </c>
      <c r="N5" s="8" t="s">
        <v>22</v>
      </c>
      <c r="O5" s="8" t="s">
        <v>55</v>
      </c>
    </row>
    <row r="6" customFormat="false" ht="79.85" hidden="false" customHeight="false" outlineLevel="0" collapsed="false">
      <c r="A6" s="8" t="s">
        <v>65</v>
      </c>
      <c r="B6" s="8" t="s">
        <v>46</v>
      </c>
      <c r="C6" s="9" t="s">
        <v>4</v>
      </c>
      <c r="D6" s="8" t="s">
        <v>66</v>
      </c>
      <c r="E6" s="8" t="s">
        <v>67</v>
      </c>
      <c r="F6" s="10" t="s">
        <v>9</v>
      </c>
      <c r="G6" s="8" t="s">
        <v>68</v>
      </c>
      <c r="H6" s="13" t="s">
        <v>15</v>
      </c>
      <c r="I6" s="8" t="s">
        <v>69</v>
      </c>
      <c r="J6" s="8" t="s">
        <v>70</v>
      </c>
      <c r="K6" s="8" t="s">
        <v>52</v>
      </c>
      <c r="L6" s="8" t="s">
        <v>71</v>
      </c>
      <c r="M6" s="8" t="s">
        <v>54</v>
      </c>
      <c r="N6" s="8" t="s">
        <v>23</v>
      </c>
      <c r="O6" s="8" t="s">
        <v>72</v>
      </c>
    </row>
    <row r="7" customFormat="false" ht="57.45" hidden="false" customHeight="false" outlineLevel="0" collapsed="false">
      <c r="A7" s="8" t="s">
        <v>89</v>
      </c>
      <c r="B7" s="8" t="s">
        <v>46</v>
      </c>
      <c r="C7" s="14" t="s">
        <v>5</v>
      </c>
      <c r="D7" s="8" t="s">
        <v>90</v>
      </c>
      <c r="E7" s="8" t="s">
        <v>91</v>
      </c>
      <c r="F7" s="10" t="s">
        <v>9</v>
      </c>
      <c r="G7" s="8" t="s">
        <v>92</v>
      </c>
      <c r="H7" s="13" t="s">
        <v>15</v>
      </c>
      <c r="I7" s="8" t="s">
        <v>93</v>
      </c>
      <c r="J7" s="8" t="s">
        <v>94</v>
      </c>
      <c r="K7" s="8" t="s">
        <v>52</v>
      </c>
      <c r="L7" s="8" t="s">
        <v>95</v>
      </c>
      <c r="M7" s="8" t="s">
        <v>54</v>
      </c>
      <c r="N7" s="8" t="s">
        <v>22</v>
      </c>
      <c r="O7" s="8" t="s">
        <v>96</v>
      </c>
    </row>
    <row r="8" customFormat="false" ht="68.65" hidden="false" customHeight="false" outlineLevel="0" collapsed="false">
      <c r="A8" s="8" t="s">
        <v>97</v>
      </c>
      <c r="B8" s="8" t="s">
        <v>46</v>
      </c>
      <c r="C8" s="15" t="s">
        <v>6</v>
      </c>
      <c r="D8" s="8" t="s">
        <v>98</v>
      </c>
      <c r="E8" s="8" t="s">
        <v>99</v>
      </c>
      <c r="F8" s="10" t="s">
        <v>9</v>
      </c>
      <c r="G8" s="8" t="s">
        <v>100</v>
      </c>
      <c r="H8" s="11" t="s">
        <v>14</v>
      </c>
      <c r="I8" s="8" t="s">
        <v>101</v>
      </c>
      <c r="J8" s="8" t="s">
        <v>102</v>
      </c>
      <c r="K8" s="8" t="s">
        <v>52</v>
      </c>
      <c r="L8" s="8" t="s">
        <v>103</v>
      </c>
      <c r="M8" s="8" t="s">
        <v>54</v>
      </c>
      <c r="N8" s="8" t="s">
        <v>22</v>
      </c>
      <c r="O8" s="8" t="s">
        <v>104</v>
      </c>
    </row>
    <row r="9" customFormat="false" ht="68.65" hidden="false" customHeight="false" outlineLevel="0" collapsed="false">
      <c r="A9" s="8" t="s">
        <v>113</v>
      </c>
      <c r="B9" s="8" t="s">
        <v>46</v>
      </c>
      <c r="C9" s="16" t="s">
        <v>7</v>
      </c>
      <c r="D9" s="8" t="s">
        <v>57</v>
      </c>
      <c r="E9" s="8" t="s">
        <v>114</v>
      </c>
      <c r="F9" s="10" t="s">
        <v>9</v>
      </c>
      <c r="G9" s="8" t="s">
        <v>115</v>
      </c>
      <c r="H9" s="11" t="s">
        <v>14</v>
      </c>
      <c r="I9" s="8" t="s">
        <v>116</v>
      </c>
      <c r="J9" s="8" t="s">
        <v>117</v>
      </c>
      <c r="K9" s="8" t="s">
        <v>78</v>
      </c>
      <c r="L9" s="8" t="s">
        <v>118</v>
      </c>
      <c r="M9" s="8" t="s">
        <v>54</v>
      </c>
      <c r="N9" s="8" t="s">
        <v>22</v>
      </c>
      <c r="O9" s="8" t="s">
        <v>119</v>
      </c>
    </row>
    <row r="10" customFormat="false" ht="68.65" hidden="false" customHeight="false" outlineLevel="0" collapsed="false">
      <c r="A10" s="8" t="s">
        <v>120</v>
      </c>
      <c r="B10" s="8" t="s">
        <v>46</v>
      </c>
      <c r="C10" s="15" t="s">
        <v>6</v>
      </c>
      <c r="D10" s="8" t="s">
        <v>121</v>
      </c>
      <c r="E10" s="8" t="s">
        <v>122</v>
      </c>
      <c r="F10" s="10" t="s">
        <v>9</v>
      </c>
      <c r="G10" s="8" t="s">
        <v>123</v>
      </c>
      <c r="H10" s="8" t="s">
        <v>12</v>
      </c>
      <c r="I10" s="8" t="s">
        <v>124</v>
      </c>
      <c r="J10" s="8" t="s">
        <v>125</v>
      </c>
      <c r="K10" s="8" t="s">
        <v>78</v>
      </c>
      <c r="L10" s="8" t="s">
        <v>126</v>
      </c>
      <c r="M10" s="8" t="s">
        <v>42</v>
      </c>
      <c r="N10" s="8" t="s">
        <v>22</v>
      </c>
      <c r="O10" s="8" t="s">
        <v>127</v>
      </c>
    </row>
    <row r="11" customFormat="false" ht="68.65" hidden="false" customHeight="false" outlineLevel="0" collapsed="false">
      <c r="A11" s="8" t="s">
        <v>135</v>
      </c>
      <c r="B11" s="8" t="s">
        <v>46</v>
      </c>
      <c r="C11" s="14" t="s">
        <v>5</v>
      </c>
      <c r="D11" s="8" t="s">
        <v>136</v>
      </c>
      <c r="E11" s="8" t="s">
        <v>137</v>
      </c>
      <c r="F11" s="10" t="s">
        <v>9</v>
      </c>
      <c r="G11" s="8" t="s">
        <v>138</v>
      </c>
      <c r="H11" s="11" t="s">
        <v>14</v>
      </c>
      <c r="I11" s="8" t="s">
        <v>139</v>
      </c>
      <c r="J11" s="8" t="s">
        <v>140</v>
      </c>
      <c r="K11" s="8" t="s">
        <v>52</v>
      </c>
      <c r="L11" s="8" t="s">
        <v>141</v>
      </c>
      <c r="M11" s="8" t="s">
        <v>54</v>
      </c>
      <c r="N11" s="8" t="s">
        <v>22</v>
      </c>
      <c r="O11" s="8" t="s">
        <v>142</v>
      </c>
    </row>
    <row r="12" customFormat="false" ht="46.25" hidden="false" customHeight="false" outlineLevel="0" collapsed="false">
      <c r="A12" s="8" t="s">
        <v>143</v>
      </c>
      <c r="B12" s="8" t="s">
        <v>46</v>
      </c>
      <c r="C12" s="15" t="s">
        <v>6</v>
      </c>
      <c r="D12" s="8" t="s">
        <v>136</v>
      </c>
      <c r="E12" s="8" t="s">
        <v>144</v>
      </c>
      <c r="F12" s="10" t="s">
        <v>9</v>
      </c>
      <c r="G12" s="8" t="s">
        <v>145</v>
      </c>
      <c r="H12" s="11" t="s">
        <v>14</v>
      </c>
      <c r="I12" s="8" t="s">
        <v>146</v>
      </c>
      <c r="J12" s="8" t="s">
        <v>147</v>
      </c>
      <c r="K12" s="8" t="s">
        <v>52</v>
      </c>
      <c r="L12" s="8" t="s">
        <v>148</v>
      </c>
      <c r="M12" s="8" t="s">
        <v>54</v>
      </c>
      <c r="N12" s="8" t="s">
        <v>22</v>
      </c>
      <c r="O12" s="8" t="s">
        <v>112</v>
      </c>
    </row>
    <row r="13" customFormat="false" ht="68.65" hidden="false" customHeight="false" outlineLevel="0" collapsed="false">
      <c r="A13" s="8" t="s">
        <v>155</v>
      </c>
      <c r="B13" s="8" t="s">
        <v>46</v>
      </c>
      <c r="C13" s="16" t="s">
        <v>7</v>
      </c>
      <c r="D13" s="8" t="s">
        <v>136</v>
      </c>
      <c r="E13" s="8" t="s">
        <v>156</v>
      </c>
      <c r="F13" s="10" t="s">
        <v>9</v>
      </c>
      <c r="G13" s="8" t="s">
        <v>157</v>
      </c>
      <c r="H13" s="13" t="s">
        <v>15</v>
      </c>
      <c r="I13" s="8" t="s">
        <v>158</v>
      </c>
      <c r="J13" s="8" t="s">
        <v>159</v>
      </c>
      <c r="K13" s="8" t="s">
        <v>78</v>
      </c>
      <c r="L13" s="8" t="s">
        <v>160</v>
      </c>
      <c r="M13" s="8" t="s">
        <v>54</v>
      </c>
      <c r="N13" s="17" t="s">
        <v>24</v>
      </c>
      <c r="O13" s="8" t="s">
        <v>161</v>
      </c>
    </row>
    <row r="14" customFormat="false" ht="68.65" hidden="false" customHeight="false" outlineLevel="0" collapsed="false">
      <c r="A14" s="8" t="s">
        <v>162</v>
      </c>
      <c r="B14" s="8" t="s">
        <v>46</v>
      </c>
      <c r="C14" s="16" t="s">
        <v>7</v>
      </c>
      <c r="D14" s="8" t="s">
        <v>136</v>
      </c>
      <c r="E14" s="8" t="s">
        <v>163</v>
      </c>
      <c r="F14" s="10" t="s">
        <v>9</v>
      </c>
      <c r="G14" s="8" t="s">
        <v>164</v>
      </c>
      <c r="H14" s="11" t="s">
        <v>14</v>
      </c>
      <c r="I14" s="8" t="s">
        <v>165</v>
      </c>
      <c r="J14" s="8" t="s">
        <v>166</v>
      </c>
      <c r="K14" s="8" t="s">
        <v>78</v>
      </c>
      <c r="L14" s="8" t="s">
        <v>167</v>
      </c>
      <c r="M14" s="8" t="s">
        <v>54</v>
      </c>
      <c r="N14" s="18" t="s">
        <v>25</v>
      </c>
      <c r="O14" s="8" t="s">
        <v>168</v>
      </c>
    </row>
    <row r="15" customFormat="false" ht="57.45" hidden="false" customHeight="false" outlineLevel="0" collapsed="false">
      <c r="A15" s="8" t="s">
        <v>188</v>
      </c>
      <c r="B15" s="8" t="s">
        <v>46</v>
      </c>
      <c r="C15" s="14" t="s">
        <v>5</v>
      </c>
      <c r="D15" s="8" t="s">
        <v>183</v>
      </c>
      <c r="E15" s="8" t="s">
        <v>189</v>
      </c>
      <c r="F15" s="10" t="s">
        <v>9</v>
      </c>
      <c r="G15" s="8" t="s">
        <v>190</v>
      </c>
      <c r="H15" s="11" t="s">
        <v>14</v>
      </c>
      <c r="I15" s="8" t="s">
        <v>191</v>
      </c>
      <c r="J15" s="8" t="s">
        <v>192</v>
      </c>
      <c r="K15" s="8" t="s">
        <v>78</v>
      </c>
      <c r="L15" s="8" t="s">
        <v>193</v>
      </c>
      <c r="M15" s="8" t="s">
        <v>54</v>
      </c>
      <c r="N15" s="8" t="s">
        <v>22</v>
      </c>
      <c r="O15" s="8" t="s">
        <v>194</v>
      </c>
    </row>
    <row r="16" customFormat="false" ht="68.65" hidden="false" customHeight="false" outlineLevel="0" collapsed="false">
      <c r="A16" s="8" t="s">
        <v>195</v>
      </c>
      <c r="B16" s="8" t="s">
        <v>46</v>
      </c>
      <c r="C16" s="14" t="s">
        <v>5</v>
      </c>
      <c r="D16" s="8" t="s">
        <v>196</v>
      </c>
      <c r="E16" s="8" t="s">
        <v>197</v>
      </c>
      <c r="F16" s="10" t="s">
        <v>9</v>
      </c>
      <c r="G16" s="8" t="s">
        <v>198</v>
      </c>
      <c r="H16" s="13" t="s">
        <v>15</v>
      </c>
      <c r="I16" s="8" t="s">
        <v>199</v>
      </c>
      <c r="J16" s="8" t="s">
        <v>200</v>
      </c>
      <c r="K16" s="8" t="s">
        <v>52</v>
      </c>
      <c r="L16" s="8" t="s">
        <v>201</v>
      </c>
      <c r="M16" s="8" t="s">
        <v>54</v>
      </c>
      <c r="N16" s="8" t="s">
        <v>22</v>
      </c>
      <c r="O16" s="8" t="s">
        <v>112</v>
      </c>
    </row>
    <row r="17" customFormat="false" ht="57.45" hidden="false" customHeight="false" outlineLevel="0" collapsed="false">
      <c r="A17" s="8" t="s">
        <v>212</v>
      </c>
      <c r="B17" s="8" t="s">
        <v>46</v>
      </c>
      <c r="C17" s="15" t="s">
        <v>6</v>
      </c>
      <c r="D17" s="8" t="s">
        <v>183</v>
      </c>
      <c r="E17" s="8" t="s">
        <v>213</v>
      </c>
      <c r="F17" s="10" t="s">
        <v>9</v>
      </c>
      <c r="G17" s="8" t="s">
        <v>214</v>
      </c>
      <c r="H17" s="11" t="s">
        <v>14</v>
      </c>
      <c r="I17" s="8" t="s">
        <v>215</v>
      </c>
      <c r="J17" s="8" t="s">
        <v>216</v>
      </c>
      <c r="K17" s="8" t="s">
        <v>52</v>
      </c>
      <c r="L17" s="8" t="s">
        <v>217</v>
      </c>
      <c r="M17" s="8" t="s">
        <v>54</v>
      </c>
      <c r="N17" s="8" t="s">
        <v>22</v>
      </c>
      <c r="O17" s="8" t="s">
        <v>218</v>
      </c>
    </row>
    <row r="18" customFormat="false" ht="68.65" hidden="false" customHeight="false" outlineLevel="0" collapsed="false">
      <c r="A18" s="8" t="s">
        <v>244</v>
      </c>
      <c r="B18" s="8" t="s">
        <v>46</v>
      </c>
      <c r="C18" s="15" t="s">
        <v>6</v>
      </c>
      <c r="D18" s="8" t="s">
        <v>230</v>
      </c>
      <c r="E18" s="8" t="s">
        <v>245</v>
      </c>
      <c r="F18" s="10" t="s">
        <v>9</v>
      </c>
      <c r="G18" s="8" t="s">
        <v>246</v>
      </c>
      <c r="H18" s="13" t="s">
        <v>15</v>
      </c>
      <c r="I18" s="8" t="s">
        <v>247</v>
      </c>
      <c r="J18" s="8" t="s">
        <v>248</v>
      </c>
      <c r="K18" s="8" t="s">
        <v>52</v>
      </c>
      <c r="L18" s="8" t="s">
        <v>249</v>
      </c>
      <c r="M18" s="8" t="s">
        <v>54</v>
      </c>
      <c r="N18" s="8" t="s">
        <v>22</v>
      </c>
      <c r="O18" s="8" t="s">
        <v>112</v>
      </c>
    </row>
    <row r="19" customFormat="false" ht="46.25" hidden="false" customHeight="false" outlineLevel="0" collapsed="false">
      <c r="A19" s="8" t="s">
        <v>261</v>
      </c>
      <c r="B19" s="8" t="s">
        <v>46</v>
      </c>
      <c r="C19" s="15" t="s">
        <v>6</v>
      </c>
      <c r="D19" s="8" t="s">
        <v>230</v>
      </c>
      <c r="E19" s="8" t="s">
        <v>262</v>
      </c>
      <c r="F19" s="20" t="s">
        <v>10</v>
      </c>
      <c r="G19" s="8" t="s">
        <v>263</v>
      </c>
      <c r="H19" s="11" t="s">
        <v>14</v>
      </c>
      <c r="I19" s="8" t="s">
        <v>264</v>
      </c>
      <c r="J19" s="8" t="s">
        <v>265</v>
      </c>
      <c r="K19" s="8" t="s">
        <v>78</v>
      </c>
      <c r="L19" s="8" t="s">
        <v>266</v>
      </c>
      <c r="M19" s="8" t="s">
        <v>54</v>
      </c>
      <c r="N19" s="8" t="s">
        <v>23</v>
      </c>
      <c r="O19" s="8" t="s">
        <v>112</v>
      </c>
    </row>
    <row r="20" customFormat="false" ht="57.45" hidden="false" customHeight="false" outlineLevel="0" collapsed="false">
      <c r="A20" s="8" t="s">
        <v>267</v>
      </c>
      <c r="B20" s="8" t="s">
        <v>46</v>
      </c>
      <c r="C20" s="15" t="s">
        <v>6</v>
      </c>
      <c r="D20" s="8" t="s">
        <v>230</v>
      </c>
      <c r="E20" s="8" t="s">
        <v>268</v>
      </c>
      <c r="F20" s="10" t="s">
        <v>9</v>
      </c>
      <c r="G20" s="8" t="s">
        <v>269</v>
      </c>
      <c r="H20" s="11" t="s">
        <v>14</v>
      </c>
      <c r="I20" s="8" t="s">
        <v>270</v>
      </c>
      <c r="J20" s="8" t="s">
        <v>271</v>
      </c>
      <c r="K20" s="8" t="s">
        <v>52</v>
      </c>
      <c r="L20" s="8" t="s">
        <v>272</v>
      </c>
      <c r="M20" s="8" t="s">
        <v>273</v>
      </c>
      <c r="N20" s="8" t="s">
        <v>22</v>
      </c>
      <c r="O20" s="8" t="s">
        <v>274</v>
      </c>
    </row>
    <row r="21" customFormat="false" ht="57.45" hidden="false" customHeight="false" outlineLevel="0" collapsed="false">
      <c r="A21" s="8" t="s">
        <v>275</v>
      </c>
      <c r="B21" s="8" t="s">
        <v>46</v>
      </c>
      <c r="C21" s="16" t="s">
        <v>7</v>
      </c>
      <c r="D21" s="8" t="s">
        <v>230</v>
      </c>
      <c r="E21" s="8" t="s">
        <v>276</v>
      </c>
      <c r="F21" s="10" t="s">
        <v>9</v>
      </c>
      <c r="G21" s="8" t="s">
        <v>277</v>
      </c>
      <c r="H21" s="13" t="s">
        <v>15</v>
      </c>
      <c r="I21" s="8" t="s">
        <v>278</v>
      </c>
      <c r="J21" s="8" t="s">
        <v>279</v>
      </c>
      <c r="K21" s="8" t="s">
        <v>52</v>
      </c>
      <c r="L21" s="8" t="s">
        <v>280</v>
      </c>
      <c r="M21" s="8" t="s">
        <v>54</v>
      </c>
      <c r="N21" s="8" t="s">
        <v>22</v>
      </c>
      <c r="O21" s="8" t="s">
        <v>112</v>
      </c>
    </row>
    <row r="22" customFormat="false" ht="68.65" hidden="false" customHeight="false" outlineLevel="0" collapsed="false">
      <c r="A22" s="8" t="s">
        <v>290</v>
      </c>
      <c r="B22" s="8" t="s">
        <v>46</v>
      </c>
      <c r="C22" s="14" t="s">
        <v>5</v>
      </c>
      <c r="D22" s="8" t="s">
        <v>291</v>
      </c>
      <c r="E22" s="8" t="s">
        <v>292</v>
      </c>
      <c r="F22" s="20" t="s">
        <v>10</v>
      </c>
      <c r="G22" s="8" t="s">
        <v>293</v>
      </c>
      <c r="H22" s="11" t="s">
        <v>14</v>
      </c>
      <c r="I22" s="8" t="s">
        <v>294</v>
      </c>
      <c r="J22" s="8" t="s">
        <v>295</v>
      </c>
      <c r="K22" s="8" t="s">
        <v>78</v>
      </c>
      <c r="L22" s="8" t="s">
        <v>296</v>
      </c>
      <c r="M22" s="8" t="s">
        <v>273</v>
      </c>
      <c r="N22" s="8" t="s">
        <v>23</v>
      </c>
      <c r="O22" s="8" t="s">
        <v>297</v>
      </c>
    </row>
    <row r="23" customFormat="false" ht="46.25" hidden="false" customHeight="false" outlineLevel="0" collapsed="false">
      <c r="A23" s="8" t="s">
        <v>312</v>
      </c>
      <c r="B23" s="8" t="s">
        <v>46</v>
      </c>
      <c r="C23" s="15" t="s">
        <v>6</v>
      </c>
      <c r="D23" s="8" t="s">
        <v>282</v>
      </c>
      <c r="E23" s="8" t="s">
        <v>313</v>
      </c>
      <c r="F23" s="10" t="s">
        <v>9</v>
      </c>
      <c r="G23" s="8" t="s">
        <v>314</v>
      </c>
      <c r="H23" s="11" t="s">
        <v>14</v>
      </c>
      <c r="I23" s="8" t="s">
        <v>315</v>
      </c>
      <c r="J23" s="8" t="s">
        <v>316</v>
      </c>
      <c r="K23" s="8" t="s">
        <v>52</v>
      </c>
      <c r="L23" s="8" t="s">
        <v>317</v>
      </c>
      <c r="M23" s="8" t="s">
        <v>54</v>
      </c>
      <c r="N23" s="8" t="s">
        <v>22</v>
      </c>
      <c r="O23" s="8" t="s">
        <v>112</v>
      </c>
    </row>
    <row r="24" customFormat="false" ht="68.65" hidden="false" customHeight="false" outlineLevel="0" collapsed="false">
      <c r="A24" s="8" t="s">
        <v>318</v>
      </c>
      <c r="B24" s="8" t="s">
        <v>46</v>
      </c>
      <c r="C24" s="15" t="s">
        <v>6</v>
      </c>
      <c r="D24" s="8" t="s">
        <v>282</v>
      </c>
      <c r="E24" s="8" t="s">
        <v>319</v>
      </c>
      <c r="F24" s="10" t="s">
        <v>9</v>
      </c>
      <c r="G24" s="8" t="s">
        <v>320</v>
      </c>
      <c r="H24" s="13" t="s">
        <v>15</v>
      </c>
      <c r="I24" s="8" t="s">
        <v>321</v>
      </c>
      <c r="J24" s="8" t="s">
        <v>322</v>
      </c>
      <c r="K24" s="8" t="s">
        <v>52</v>
      </c>
      <c r="L24" s="8" t="s">
        <v>323</v>
      </c>
      <c r="M24" s="8" t="s">
        <v>273</v>
      </c>
      <c r="N24" s="8" t="s">
        <v>22</v>
      </c>
      <c r="O24" s="8" t="s">
        <v>324</v>
      </c>
    </row>
    <row r="25" customFormat="false" ht="79.85" hidden="false" customHeight="false" outlineLevel="0" collapsed="false">
      <c r="A25" s="8" t="s">
        <v>330</v>
      </c>
      <c r="B25" s="8" t="s">
        <v>46</v>
      </c>
      <c r="C25" s="14" t="s">
        <v>5</v>
      </c>
      <c r="D25" s="8" t="s">
        <v>331</v>
      </c>
      <c r="E25" s="8" t="s">
        <v>332</v>
      </c>
      <c r="F25" s="10" t="s">
        <v>9</v>
      </c>
      <c r="G25" s="8" t="s">
        <v>333</v>
      </c>
      <c r="H25" s="13" t="s">
        <v>15</v>
      </c>
      <c r="I25" s="8" t="s">
        <v>334</v>
      </c>
      <c r="J25" s="8" t="s">
        <v>335</v>
      </c>
      <c r="K25" s="8" t="s">
        <v>52</v>
      </c>
      <c r="L25" s="8" t="s">
        <v>336</v>
      </c>
      <c r="M25" s="8" t="s">
        <v>54</v>
      </c>
      <c r="N25" s="8" t="s">
        <v>22</v>
      </c>
      <c r="O25" s="8" t="s">
        <v>337</v>
      </c>
    </row>
    <row r="26" customFormat="false" ht="79.85" hidden="false" customHeight="false" outlineLevel="0" collapsed="false">
      <c r="A26" s="8" t="s">
        <v>351</v>
      </c>
      <c r="B26" s="8" t="s">
        <v>46</v>
      </c>
      <c r="C26" s="14" t="s">
        <v>5</v>
      </c>
      <c r="D26" s="8" t="s">
        <v>352</v>
      </c>
      <c r="E26" s="8" t="s">
        <v>353</v>
      </c>
      <c r="F26" s="10" t="s">
        <v>9</v>
      </c>
      <c r="G26" s="8" t="s">
        <v>354</v>
      </c>
      <c r="H26" s="8" t="s">
        <v>17</v>
      </c>
      <c r="I26" s="8" t="s">
        <v>355</v>
      </c>
      <c r="J26" s="8" t="s">
        <v>356</v>
      </c>
      <c r="K26" s="8" t="s">
        <v>52</v>
      </c>
      <c r="L26" s="8" t="s">
        <v>357</v>
      </c>
      <c r="M26" s="8" t="s">
        <v>42</v>
      </c>
      <c r="N26" s="8" t="s">
        <v>22</v>
      </c>
      <c r="O26" s="8" t="s">
        <v>358</v>
      </c>
    </row>
    <row r="27" customFormat="false" ht="91" hidden="false" customHeight="false" outlineLevel="0" collapsed="false">
      <c r="A27" s="8" t="s">
        <v>373</v>
      </c>
      <c r="B27" s="8" t="s">
        <v>46</v>
      </c>
      <c r="C27" s="14" t="s">
        <v>5</v>
      </c>
      <c r="D27" s="8" t="s">
        <v>374</v>
      </c>
      <c r="E27" s="8" t="s">
        <v>375</v>
      </c>
      <c r="F27" s="10" t="s">
        <v>9</v>
      </c>
      <c r="G27" s="8" t="s">
        <v>376</v>
      </c>
      <c r="H27" s="11" t="s">
        <v>14</v>
      </c>
      <c r="I27" s="8" t="s">
        <v>377</v>
      </c>
      <c r="J27" s="8" t="s">
        <v>378</v>
      </c>
      <c r="K27" s="8" t="s">
        <v>52</v>
      </c>
      <c r="L27" s="8" t="s">
        <v>379</v>
      </c>
      <c r="M27" s="8" t="s">
        <v>54</v>
      </c>
      <c r="N27" s="8" t="s">
        <v>22</v>
      </c>
      <c r="O27" s="8" t="s">
        <v>380</v>
      </c>
    </row>
    <row r="28" customFormat="false" ht="46.25" hidden="false" customHeight="false" outlineLevel="0" collapsed="false">
      <c r="A28" s="8" t="s">
        <v>393</v>
      </c>
      <c r="B28" s="8" t="s">
        <v>46</v>
      </c>
      <c r="C28" s="15" t="s">
        <v>6</v>
      </c>
      <c r="D28" s="8" t="s">
        <v>374</v>
      </c>
      <c r="E28" s="8" t="s">
        <v>394</v>
      </c>
      <c r="F28" s="10" t="s">
        <v>9</v>
      </c>
      <c r="G28" s="8" t="s">
        <v>395</v>
      </c>
      <c r="H28" s="12" t="s">
        <v>16</v>
      </c>
      <c r="I28" s="8" t="s">
        <v>396</v>
      </c>
      <c r="J28" s="8" t="s">
        <v>397</v>
      </c>
      <c r="K28" s="8" t="s">
        <v>52</v>
      </c>
      <c r="L28" s="8" t="s">
        <v>398</v>
      </c>
      <c r="M28" s="8" t="s">
        <v>399</v>
      </c>
      <c r="N28" s="8" t="s">
        <v>22</v>
      </c>
      <c r="O28" s="8" t="s">
        <v>112</v>
      </c>
    </row>
    <row r="29" customFormat="false" ht="57.45" hidden="false" customHeight="false" outlineLevel="0" collapsed="false">
      <c r="A29" s="8" t="s">
        <v>400</v>
      </c>
      <c r="B29" s="8" t="s">
        <v>46</v>
      </c>
      <c r="C29" s="15" t="s">
        <v>6</v>
      </c>
      <c r="D29" s="8" t="s">
        <v>374</v>
      </c>
      <c r="E29" s="8" t="s">
        <v>401</v>
      </c>
      <c r="F29" s="10" t="s">
        <v>9</v>
      </c>
      <c r="G29" s="8" t="s">
        <v>402</v>
      </c>
      <c r="H29" s="13" t="s">
        <v>15</v>
      </c>
      <c r="I29" s="8" t="s">
        <v>403</v>
      </c>
      <c r="J29" s="8" t="s">
        <v>404</v>
      </c>
      <c r="K29" s="8" t="s">
        <v>52</v>
      </c>
      <c r="L29" s="8" t="s">
        <v>405</v>
      </c>
      <c r="M29" s="8" t="s">
        <v>273</v>
      </c>
      <c r="N29" s="8" t="s">
        <v>22</v>
      </c>
      <c r="O29" s="8" t="s">
        <v>112</v>
      </c>
    </row>
    <row r="30" customFormat="false" ht="46.25" hidden="false" customHeight="false" outlineLevel="0" collapsed="false">
      <c r="A30" s="8" t="s">
        <v>406</v>
      </c>
      <c r="B30" s="8" t="s">
        <v>46</v>
      </c>
      <c r="C30" s="16" t="s">
        <v>7</v>
      </c>
      <c r="D30" s="8" t="s">
        <v>374</v>
      </c>
      <c r="E30" s="8" t="s">
        <v>407</v>
      </c>
      <c r="F30" s="10" t="s">
        <v>9</v>
      </c>
      <c r="G30" s="8" t="s">
        <v>408</v>
      </c>
      <c r="H30" s="11" t="s">
        <v>14</v>
      </c>
      <c r="I30" s="8" t="s">
        <v>409</v>
      </c>
      <c r="J30" s="8" t="s">
        <v>410</v>
      </c>
      <c r="K30" s="8" t="s">
        <v>52</v>
      </c>
      <c r="L30" s="8" t="s">
        <v>411</v>
      </c>
      <c r="M30" s="8" t="s">
        <v>54</v>
      </c>
      <c r="N30" s="8" t="s">
        <v>22</v>
      </c>
      <c r="O30" s="8" t="s">
        <v>112</v>
      </c>
    </row>
    <row r="31" customFormat="false" ht="68.65" hidden="false" customHeight="false" outlineLevel="0" collapsed="false">
      <c r="A31" s="8" t="s">
        <v>419</v>
      </c>
      <c r="B31" s="8" t="s">
        <v>46</v>
      </c>
      <c r="C31" s="9" t="s">
        <v>4</v>
      </c>
      <c r="D31" s="8" t="s">
        <v>420</v>
      </c>
      <c r="E31" s="8" t="s">
        <v>421</v>
      </c>
      <c r="F31" s="10" t="s">
        <v>9</v>
      </c>
      <c r="G31" s="8" t="s">
        <v>422</v>
      </c>
      <c r="H31" s="11" t="s">
        <v>14</v>
      </c>
      <c r="I31" s="8" t="s">
        <v>423</v>
      </c>
      <c r="J31" s="8" t="s">
        <v>424</v>
      </c>
      <c r="K31" s="8" t="s">
        <v>52</v>
      </c>
      <c r="L31" s="8" t="s">
        <v>425</v>
      </c>
      <c r="M31" s="8" t="s">
        <v>54</v>
      </c>
      <c r="N31" s="8" t="s">
        <v>22</v>
      </c>
      <c r="O31" s="8" t="s">
        <v>426</v>
      </c>
    </row>
    <row r="32" customFormat="false" ht="57.45" hidden="false" customHeight="false" outlineLevel="0" collapsed="false">
      <c r="A32" s="8" t="s">
        <v>427</v>
      </c>
      <c r="B32" s="8" t="s">
        <v>46</v>
      </c>
      <c r="C32" s="14" t="s">
        <v>5</v>
      </c>
      <c r="D32" s="8" t="s">
        <v>420</v>
      </c>
      <c r="E32" s="8" t="s">
        <v>428</v>
      </c>
      <c r="F32" s="10" t="s">
        <v>9</v>
      </c>
      <c r="G32" s="8" t="s">
        <v>429</v>
      </c>
      <c r="H32" s="8" t="s">
        <v>12</v>
      </c>
      <c r="I32" s="8" t="s">
        <v>430</v>
      </c>
      <c r="J32" s="8" t="s">
        <v>431</v>
      </c>
      <c r="K32" s="8" t="s">
        <v>78</v>
      </c>
      <c r="L32" s="8" t="s">
        <v>432</v>
      </c>
      <c r="M32" s="8" t="s">
        <v>399</v>
      </c>
      <c r="N32" s="8" t="s">
        <v>22</v>
      </c>
      <c r="O32" s="8" t="s">
        <v>433</v>
      </c>
    </row>
    <row r="33" customFormat="false" ht="68.65" hidden="false" customHeight="false" outlineLevel="0" collapsed="false">
      <c r="A33" s="8" t="s">
        <v>434</v>
      </c>
      <c r="B33" s="8" t="s">
        <v>46</v>
      </c>
      <c r="C33" s="14" t="s">
        <v>5</v>
      </c>
      <c r="D33" s="8" t="s">
        <v>420</v>
      </c>
      <c r="E33" s="8" t="s">
        <v>435</v>
      </c>
      <c r="F33" s="10" t="s">
        <v>9</v>
      </c>
      <c r="G33" s="8" t="s">
        <v>436</v>
      </c>
      <c r="H33" s="13" t="s">
        <v>15</v>
      </c>
      <c r="I33" s="8" t="s">
        <v>437</v>
      </c>
      <c r="J33" s="8" t="s">
        <v>438</v>
      </c>
      <c r="K33" s="8" t="s">
        <v>52</v>
      </c>
      <c r="L33" s="8" t="s">
        <v>439</v>
      </c>
      <c r="M33" s="8" t="s">
        <v>54</v>
      </c>
      <c r="N33" s="8" t="s">
        <v>22</v>
      </c>
      <c r="O33" s="8" t="s">
        <v>440</v>
      </c>
    </row>
    <row r="34" customFormat="false" ht="57.45" hidden="false" customHeight="false" outlineLevel="0" collapsed="false">
      <c r="A34" s="8" t="s">
        <v>441</v>
      </c>
      <c r="B34" s="8" t="s">
        <v>46</v>
      </c>
      <c r="C34" s="15" t="s">
        <v>6</v>
      </c>
      <c r="D34" s="8" t="s">
        <v>420</v>
      </c>
      <c r="E34" s="8" t="s">
        <v>442</v>
      </c>
      <c r="F34" s="10" t="s">
        <v>9</v>
      </c>
      <c r="G34" s="8" t="s">
        <v>443</v>
      </c>
      <c r="H34" s="13" t="s">
        <v>15</v>
      </c>
      <c r="I34" s="8" t="s">
        <v>444</v>
      </c>
      <c r="J34" s="8" t="s">
        <v>445</v>
      </c>
      <c r="K34" s="8" t="s">
        <v>52</v>
      </c>
      <c r="L34" s="8" t="s">
        <v>446</v>
      </c>
      <c r="M34" s="8" t="s">
        <v>54</v>
      </c>
      <c r="N34" s="8" t="s">
        <v>22</v>
      </c>
      <c r="O34" s="8" t="s">
        <v>447</v>
      </c>
    </row>
    <row r="35" customFormat="false" ht="57.45" hidden="false" customHeight="false" outlineLevel="0" collapsed="false">
      <c r="A35" s="8" t="s">
        <v>455</v>
      </c>
      <c r="B35" s="8" t="s">
        <v>46</v>
      </c>
      <c r="C35" s="15" t="s">
        <v>6</v>
      </c>
      <c r="D35" s="8" t="s">
        <v>420</v>
      </c>
      <c r="E35" s="8" t="s">
        <v>456</v>
      </c>
      <c r="F35" s="10" t="s">
        <v>9</v>
      </c>
      <c r="G35" s="8" t="s">
        <v>457</v>
      </c>
      <c r="H35" s="11" t="s">
        <v>14</v>
      </c>
      <c r="I35" s="8" t="s">
        <v>458</v>
      </c>
      <c r="J35" s="8" t="s">
        <v>459</v>
      </c>
      <c r="K35" s="8" t="s">
        <v>78</v>
      </c>
      <c r="L35" s="8" t="s">
        <v>460</v>
      </c>
      <c r="M35" s="8" t="s">
        <v>54</v>
      </c>
      <c r="N35" s="8" t="s">
        <v>22</v>
      </c>
      <c r="O35" s="8" t="s">
        <v>112</v>
      </c>
    </row>
    <row r="36" customFormat="false" ht="68.65" hidden="false" customHeight="false" outlineLevel="0" collapsed="false">
      <c r="A36" s="8" t="s">
        <v>470</v>
      </c>
      <c r="B36" s="8" t="s">
        <v>46</v>
      </c>
      <c r="C36" s="9" t="s">
        <v>4</v>
      </c>
      <c r="D36" s="8" t="s">
        <v>471</v>
      </c>
      <c r="E36" s="8" t="s">
        <v>472</v>
      </c>
      <c r="F36" s="10" t="s">
        <v>9</v>
      </c>
      <c r="G36" s="8" t="s">
        <v>473</v>
      </c>
      <c r="H36" s="11" t="s">
        <v>14</v>
      </c>
      <c r="I36" s="8" t="s">
        <v>474</v>
      </c>
      <c r="J36" s="8" t="s">
        <v>475</v>
      </c>
      <c r="K36" s="8" t="s">
        <v>52</v>
      </c>
      <c r="L36" s="8" t="s">
        <v>476</v>
      </c>
      <c r="M36" s="8" t="s">
        <v>54</v>
      </c>
      <c r="N36" s="8" t="s">
        <v>22</v>
      </c>
      <c r="O36" s="8" t="s">
        <v>477</v>
      </c>
    </row>
    <row r="37" customFormat="false" ht="57.45" hidden="false" customHeight="false" outlineLevel="0" collapsed="false">
      <c r="A37" s="8" t="s">
        <v>530</v>
      </c>
      <c r="B37" s="8" t="s">
        <v>46</v>
      </c>
      <c r="C37" s="14" t="s">
        <v>5</v>
      </c>
      <c r="D37" s="8" t="s">
        <v>512</v>
      </c>
      <c r="E37" s="8" t="s">
        <v>531</v>
      </c>
      <c r="F37" s="10" t="s">
        <v>9</v>
      </c>
      <c r="G37" s="8" t="s">
        <v>532</v>
      </c>
      <c r="H37" s="8" t="s">
        <v>17</v>
      </c>
      <c r="I37" s="8" t="s">
        <v>533</v>
      </c>
      <c r="J37" s="8" t="s">
        <v>534</v>
      </c>
      <c r="K37" s="8" t="s">
        <v>78</v>
      </c>
      <c r="L37" s="8" t="s">
        <v>535</v>
      </c>
      <c r="M37" s="8" t="s">
        <v>399</v>
      </c>
      <c r="N37" s="8" t="s">
        <v>22</v>
      </c>
      <c r="O37" s="8" t="s">
        <v>536</v>
      </c>
    </row>
    <row r="38" customFormat="false" ht="68.65" hidden="false" customHeight="false" outlineLevel="0" collapsed="false">
      <c r="A38" s="8" t="s">
        <v>581</v>
      </c>
      <c r="B38" s="8" t="s">
        <v>574</v>
      </c>
      <c r="C38" s="9" t="s">
        <v>4</v>
      </c>
      <c r="D38" s="8" t="s">
        <v>574</v>
      </c>
      <c r="E38" s="8" t="s">
        <v>582</v>
      </c>
      <c r="F38" s="10" t="s">
        <v>9</v>
      </c>
      <c r="G38" s="8" t="s">
        <v>583</v>
      </c>
      <c r="H38" s="13" t="s">
        <v>15</v>
      </c>
      <c r="I38" s="8" t="s">
        <v>584</v>
      </c>
      <c r="J38" s="8" t="s">
        <v>585</v>
      </c>
      <c r="K38" s="8" t="s">
        <v>52</v>
      </c>
      <c r="L38" s="8" t="s">
        <v>586</v>
      </c>
      <c r="M38" s="8" t="s">
        <v>273</v>
      </c>
      <c r="N38" s="8" t="s">
        <v>22</v>
      </c>
      <c r="O38" s="8" t="s">
        <v>587</v>
      </c>
    </row>
    <row r="39" customFormat="false" ht="68.65" hidden="false" customHeight="false" outlineLevel="0" collapsed="false">
      <c r="A39" s="8" t="s">
        <v>588</v>
      </c>
      <c r="B39" s="8" t="s">
        <v>46</v>
      </c>
      <c r="C39" s="14" t="s">
        <v>5</v>
      </c>
      <c r="D39" s="8" t="s">
        <v>574</v>
      </c>
      <c r="E39" s="8" t="s">
        <v>589</v>
      </c>
      <c r="F39" s="10" t="s">
        <v>9</v>
      </c>
      <c r="G39" s="8" t="s">
        <v>590</v>
      </c>
      <c r="H39" s="13" t="s">
        <v>15</v>
      </c>
      <c r="I39" s="8" t="s">
        <v>591</v>
      </c>
      <c r="J39" s="8" t="s">
        <v>173</v>
      </c>
      <c r="K39" s="8" t="s">
        <v>78</v>
      </c>
      <c r="L39" s="8" t="s">
        <v>592</v>
      </c>
      <c r="M39" s="8" t="s">
        <v>273</v>
      </c>
      <c r="N39" s="8" t="s">
        <v>22</v>
      </c>
      <c r="O39" s="8" t="s">
        <v>593</v>
      </c>
    </row>
    <row r="40" customFormat="false" ht="57.45" hidden="false" customHeight="false" outlineLevel="0" collapsed="false">
      <c r="A40" s="8" t="s">
        <v>594</v>
      </c>
      <c r="B40" s="8" t="s">
        <v>46</v>
      </c>
      <c r="C40" s="14" t="s">
        <v>5</v>
      </c>
      <c r="D40" s="8" t="s">
        <v>574</v>
      </c>
      <c r="E40" s="8" t="s">
        <v>595</v>
      </c>
      <c r="F40" s="10" t="s">
        <v>9</v>
      </c>
      <c r="G40" s="8" t="s">
        <v>596</v>
      </c>
      <c r="H40" s="13" t="s">
        <v>15</v>
      </c>
      <c r="I40" s="8" t="s">
        <v>597</v>
      </c>
      <c r="J40" s="8" t="s">
        <v>173</v>
      </c>
      <c r="K40" s="8" t="s">
        <v>78</v>
      </c>
      <c r="L40" s="8" t="s">
        <v>598</v>
      </c>
      <c r="M40" s="8" t="s">
        <v>273</v>
      </c>
      <c r="N40" s="8" t="s">
        <v>22</v>
      </c>
      <c r="O40" s="8" t="s">
        <v>599</v>
      </c>
    </row>
    <row r="41" customFormat="false" ht="57.45" hidden="false" customHeight="false" outlineLevel="0" collapsed="false">
      <c r="A41" s="8" t="s">
        <v>600</v>
      </c>
      <c r="B41" s="8" t="s">
        <v>46</v>
      </c>
      <c r="C41" s="14" t="s">
        <v>5</v>
      </c>
      <c r="D41" s="8" t="s">
        <v>574</v>
      </c>
      <c r="E41" s="8" t="s">
        <v>601</v>
      </c>
      <c r="F41" s="10" t="s">
        <v>9</v>
      </c>
      <c r="G41" s="8" t="s">
        <v>602</v>
      </c>
      <c r="H41" s="11" t="s">
        <v>14</v>
      </c>
      <c r="I41" s="8" t="s">
        <v>603</v>
      </c>
      <c r="J41" s="8" t="s">
        <v>604</v>
      </c>
      <c r="K41" s="8" t="s">
        <v>52</v>
      </c>
      <c r="L41" s="8" t="s">
        <v>605</v>
      </c>
      <c r="M41" s="8" t="s">
        <v>54</v>
      </c>
      <c r="N41" s="8" t="s">
        <v>22</v>
      </c>
      <c r="O41" s="8" t="s">
        <v>606</v>
      </c>
    </row>
    <row r="42" customFormat="false" ht="57.45" hidden="false" customHeight="false" outlineLevel="0" collapsed="false">
      <c r="A42" s="8" t="s">
        <v>612</v>
      </c>
      <c r="B42" s="8" t="s">
        <v>46</v>
      </c>
      <c r="C42" s="15" t="s">
        <v>6</v>
      </c>
      <c r="D42" s="8" t="s">
        <v>574</v>
      </c>
      <c r="E42" s="8" t="s">
        <v>613</v>
      </c>
      <c r="F42" s="10" t="s">
        <v>9</v>
      </c>
      <c r="G42" s="8" t="s">
        <v>614</v>
      </c>
      <c r="H42" s="13" t="s">
        <v>15</v>
      </c>
      <c r="I42" s="8" t="s">
        <v>615</v>
      </c>
      <c r="J42" s="8" t="s">
        <v>173</v>
      </c>
      <c r="K42" s="8" t="s">
        <v>78</v>
      </c>
      <c r="L42" s="8" t="s">
        <v>616</v>
      </c>
      <c r="M42" s="8" t="s">
        <v>273</v>
      </c>
      <c r="N42" s="8" t="s">
        <v>22</v>
      </c>
      <c r="O42" s="8" t="s">
        <v>617</v>
      </c>
    </row>
    <row r="43" customFormat="false" ht="68.65" hidden="false" customHeight="false" outlineLevel="0" collapsed="false">
      <c r="A43" s="8" t="s">
        <v>618</v>
      </c>
      <c r="B43" s="8" t="s">
        <v>46</v>
      </c>
      <c r="C43" s="15" t="s">
        <v>6</v>
      </c>
      <c r="D43" s="8" t="s">
        <v>574</v>
      </c>
      <c r="E43" s="8" t="s">
        <v>619</v>
      </c>
      <c r="F43" s="10" t="s">
        <v>9</v>
      </c>
      <c r="G43" s="8" t="s">
        <v>620</v>
      </c>
      <c r="H43" s="8" t="s">
        <v>17</v>
      </c>
      <c r="I43" s="8" t="s">
        <v>621</v>
      </c>
      <c r="J43" s="8" t="s">
        <v>173</v>
      </c>
      <c r="K43" s="8" t="s">
        <v>78</v>
      </c>
      <c r="L43" s="8" t="s">
        <v>622</v>
      </c>
      <c r="M43" s="8" t="s">
        <v>42</v>
      </c>
      <c r="N43" s="8" t="s">
        <v>22</v>
      </c>
      <c r="O43" s="8" t="s">
        <v>623</v>
      </c>
    </row>
    <row r="44" customFormat="false" ht="57.45" hidden="false" customHeight="false" outlineLevel="0" collapsed="false">
      <c r="A44" s="8" t="s">
        <v>629</v>
      </c>
      <c r="B44" s="8" t="s">
        <v>46</v>
      </c>
      <c r="C44" s="16" t="s">
        <v>7</v>
      </c>
      <c r="D44" s="8" t="s">
        <v>574</v>
      </c>
      <c r="E44" s="8" t="s">
        <v>630</v>
      </c>
      <c r="F44" s="20" t="s">
        <v>10</v>
      </c>
      <c r="G44" s="8" t="s">
        <v>631</v>
      </c>
      <c r="H44" s="13" t="s">
        <v>15</v>
      </c>
      <c r="I44" s="8" t="s">
        <v>632</v>
      </c>
      <c r="J44" s="8" t="s">
        <v>633</v>
      </c>
      <c r="K44" s="8" t="s">
        <v>52</v>
      </c>
      <c r="L44" s="8" t="s">
        <v>634</v>
      </c>
      <c r="M44" s="8" t="s">
        <v>54</v>
      </c>
      <c r="N44" s="8" t="s">
        <v>23</v>
      </c>
      <c r="O44" s="8" t="s">
        <v>635</v>
      </c>
    </row>
    <row r="45" customFormat="false" ht="68.65" hidden="false" customHeight="false" outlineLevel="0" collapsed="false">
      <c r="A45" s="8" t="s">
        <v>647</v>
      </c>
      <c r="B45" s="8" t="s">
        <v>46</v>
      </c>
      <c r="C45" s="14" t="s">
        <v>5</v>
      </c>
      <c r="D45" s="8" t="s">
        <v>574</v>
      </c>
      <c r="E45" s="8" t="s">
        <v>648</v>
      </c>
      <c r="F45" s="10" t="s">
        <v>9</v>
      </c>
      <c r="G45" s="8" t="s">
        <v>649</v>
      </c>
      <c r="H45" s="13" t="s">
        <v>15</v>
      </c>
      <c r="I45" s="8" t="s">
        <v>650</v>
      </c>
      <c r="J45" s="8" t="s">
        <v>651</v>
      </c>
      <c r="K45" s="8" t="s">
        <v>52</v>
      </c>
      <c r="L45" s="8" t="s">
        <v>652</v>
      </c>
      <c r="M45" s="8" t="s">
        <v>273</v>
      </c>
      <c r="N45" s="8" t="s">
        <v>22</v>
      </c>
      <c r="O45" s="8" t="s">
        <v>112</v>
      </c>
    </row>
    <row r="46" customFormat="false" ht="57.45" hidden="false" customHeight="false" outlineLevel="0" collapsed="false">
      <c r="A46" s="8" t="s">
        <v>653</v>
      </c>
      <c r="B46" s="8" t="s">
        <v>46</v>
      </c>
      <c r="C46" s="14" t="s">
        <v>5</v>
      </c>
      <c r="D46" s="8" t="s">
        <v>574</v>
      </c>
      <c r="E46" s="8" t="s">
        <v>654</v>
      </c>
      <c r="F46" s="10" t="s">
        <v>9</v>
      </c>
      <c r="G46" s="8" t="s">
        <v>655</v>
      </c>
      <c r="H46" s="13" t="s">
        <v>15</v>
      </c>
      <c r="I46" s="8" t="s">
        <v>656</v>
      </c>
      <c r="J46" s="8" t="s">
        <v>657</v>
      </c>
      <c r="K46" s="8" t="s">
        <v>52</v>
      </c>
      <c r="L46" s="8" t="s">
        <v>658</v>
      </c>
      <c r="M46" s="8" t="s">
        <v>273</v>
      </c>
      <c r="N46" s="8" t="s">
        <v>22</v>
      </c>
      <c r="O46" s="8" t="s">
        <v>112</v>
      </c>
    </row>
    <row r="47" customFormat="false" ht="68.65" hidden="false" customHeight="false" outlineLevel="0" collapsed="false">
      <c r="A47" s="8" t="s">
        <v>659</v>
      </c>
      <c r="B47" s="8" t="s">
        <v>46</v>
      </c>
      <c r="C47" s="15" t="s">
        <v>6</v>
      </c>
      <c r="D47" s="8" t="s">
        <v>574</v>
      </c>
      <c r="E47" s="8" t="s">
        <v>660</v>
      </c>
      <c r="F47" s="10" t="s">
        <v>9</v>
      </c>
      <c r="G47" s="8" t="s">
        <v>661</v>
      </c>
      <c r="H47" s="13" t="s">
        <v>15</v>
      </c>
      <c r="I47" s="8" t="s">
        <v>662</v>
      </c>
      <c r="J47" s="8" t="s">
        <v>173</v>
      </c>
      <c r="K47" s="8" t="s">
        <v>78</v>
      </c>
      <c r="L47" s="8" t="s">
        <v>663</v>
      </c>
      <c r="M47" s="8" t="s">
        <v>273</v>
      </c>
      <c r="N47" s="8" t="s">
        <v>22</v>
      </c>
      <c r="O47" s="8" t="s">
        <v>664</v>
      </c>
    </row>
    <row r="48" customFormat="false" ht="57.45" hidden="false" customHeight="false" outlineLevel="0" collapsed="false">
      <c r="A48" s="8" t="s">
        <v>665</v>
      </c>
      <c r="B48" s="8" t="s">
        <v>46</v>
      </c>
      <c r="C48" s="15" t="s">
        <v>6</v>
      </c>
      <c r="D48" s="8" t="s">
        <v>574</v>
      </c>
      <c r="E48" s="8" t="s">
        <v>666</v>
      </c>
      <c r="F48" s="10" t="s">
        <v>9</v>
      </c>
      <c r="G48" s="8" t="s">
        <v>667</v>
      </c>
      <c r="H48" s="13" t="s">
        <v>15</v>
      </c>
      <c r="I48" s="8" t="s">
        <v>668</v>
      </c>
      <c r="J48" s="8" t="s">
        <v>669</v>
      </c>
      <c r="K48" s="8" t="s">
        <v>52</v>
      </c>
      <c r="L48" s="8" t="s">
        <v>670</v>
      </c>
      <c r="M48" s="8" t="s">
        <v>54</v>
      </c>
      <c r="N48" s="8" t="s">
        <v>22</v>
      </c>
      <c r="O48" s="8" t="s">
        <v>112</v>
      </c>
    </row>
    <row r="49" customFormat="false" ht="57.45" hidden="false" customHeight="false" outlineLevel="0" collapsed="false">
      <c r="A49" s="8" t="s">
        <v>671</v>
      </c>
      <c r="B49" s="8" t="s">
        <v>46</v>
      </c>
      <c r="C49" s="16" t="s">
        <v>7</v>
      </c>
      <c r="D49" s="8" t="s">
        <v>574</v>
      </c>
      <c r="E49" s="8" t="s">
        <v>672</v>
      </c>
      <c r="F49" s="10" t="s">
        <v>9</v>
      </c>
      <c r="G49" s="8" t="s">
        <v>673</v>
      </c>
      <c r="H49" s="11" t="s">
        <v>14</v>
      </c>
      <c r="I49" s="8" t="s">
        <v>674</v>
      </c>
      <c r="J49" s="8" t="s">
        <v>173</v>
      </c>
      <c r="K49" s="8" t="s">
        <v>78</v>
      </c>
      <c r="L49" s="8" t="s">
        <v>675</v>
      </c>
      <c r="M49" s="8" t="s">
        <v>273</v>
      </c>
      <c r="N49" s="18" t="s">
        <v>25</v>
      </c>
      <c r="O49" s="8" t="s">
        <v>676</v>
      </c>
    </row>
    <row r="50" customFormat="false" ht="79.85" hidden="false" customHeight="false" outlineLevel="0" collapsed="false">
      <c r="A50" s="8" t="s">
        <v>677</v>
      </c>
      <c r="B50" s="8" t="s">
        <v>678</v>
      </c>
      <c r="C50" s="14" t="s">
        <v>5</v>
      </c>
      <c r="D50" s="8" t="s">
        <v>679</v>
      </c>
      <c r="E50" s="8" t="s">
        <v>680</v>
      </c>
      <c r="F50" s="10" t="s">
        <v>9</v>
      </c>
      <c r="G50" s="8" t="s">
        <v>681</v>
      </c>
      <c r="H50" s="8" t="s">
        <v>17</v>
      </c>
      <c r="I50" s="8" t="s">
        <v>682</v>
      </c>
      <c r="J50" s="8" t="s">
        <v>683</v>
      </c>
      <c r="K50" s="8" t="s">
        <v>78</v>
      </c>
      <c r="L50" s="8" t="s">
        <v>684</v>
      </c>
      <c r="M50" s="8" t="s">
        <v>42</v>
      </c>
      <c r="N50" s="10" t="s">
        <v>20</v>
      </c>
      <c r="O50" s="8" t="s">
        <v>685</v>
      </c>
    </row>
    <row r="51" customFormat="false" ht="68.65" hidden="false" customHeight="false" outlineLevel="0" collapsed="false">
      <c r="A51" s="8" t="s">
        <v>686</v>
      </c>
      <c r="B51" s="8" t="s">
        <v>678</v>
      </c>
      <c r="C51" s="14" t="s">
        <v>5</v>
      </c>
      <c r="D51" s="8" t="s">
        <v>679</v>
      </c>
      <c r="E51" s="8" t="s">
        <v>687</v>
      </c>
      <c r="F51" s="20" t="s">
        <v>10</v>
      </c>
      <c r="G51" s="8" t="s">
        <v>688</v>
      </c>
      <c r="H51" s="8" t="s">
        <v>17</v>
      </c>
      <c r="I51" s="8" t="s">
        <v>682</v>
      </c>
      <c r="J51" s="8" t="s">
        <v>689</v>
      </c>
      <c r="K51" s="8" t="s">
        <v>78</v>
      </c>
      <c r="L51" s="8" t="s">
        <v>690</v>
      </c>
      <c r="M51" s="8" t="s">
        <v>399</v>
      </c>
      <c r="N51" s="8" t="s">
        <v>23</v>
      </c>
      <c r="O51" s="8" t="s">
        <v>691</v>
      </c>
    </row>
    <row r="52" customFormat="false" ht="57.45" hidden="false" customHeight="false" outlineLevel="0" collapsed="false">
      <c r="A52" s="8" t="s">
        <v>697</v>
      </c>
      <c r="B52" s="8" t="s">
        <v>678</v>
      </c>
      <c r="C52" s="15" t="s">
        <v>6</v>
      </c>
      <c r="D52" s="8" t="s">
        <v>679</v>
      </c>
      <c r="E52" s="8" t="s">
        <v>698</v>
      </c>
      <c r="F52" s="10" t="s">
        <v>9</v>
      </c>
      <c r="G52" s="8" t="s">
        <v>699</v>
      </c>
      <c r="H52" s="8" t="s">
        <v>17</v>
      </c>
      <c r="I52" s="8" t="s">
        <v>682</v>
      </c>
      <c r="J52" s="8" t="s">
        <v>173</v>
      </c>
      <c r="K52" s="8" t="s">
        <v>78</v>
      </c>
      <c r="L52" s="8" t="s">
        <v>700</v>
      </c>
      <c r="M52" s="8" t="s">
        <v>42</v>
      </c>
      <c r="N52" s="8" t="s">
        <v>22</v>
      </c>
      <c r="O52" s="8" t="s">
        <v>701</v>
      </c>
    </row>
    <row r="53" customFormat="false" ht="46.25" hidden="false" customHeight="false" outlineLevel="0" collapsed="false">
      <c r="A53" s="8" t="s">
        <v>716</v>
      </c>
      <c r="B53" s="8" t="s">
        <v>678</v>
      </c>
      <c r="C53" s="16" t="s">
        <v>7</v>
      </c>
      <c r="D53" s="8" t="s">
        <v>679</v>
      </c>
      <c r="E53" s="8" t="s">
        <v>717</v>
      </c>
      <c r="F53" s="10" t="s">
        <v>9</v>
      </c>
      <c r="G53" s="8" t="s">
        <v>718</v>
      </c>
      <c r="H53" s="8" t="s">
        <v>17</v>
      </c>
      <c r="I53" s="8" t="s">
        <v>682</v>
      </c>
      <c r="J53" s="8" t="s">
        <v>719</v>
      </c>
      <c r="K53" s="8" t="s">
        <v>78</v>
      </c>
      <c r="L53" s="8" t="s">
        <v>720</v>
      </c>
      <c r="M53" s="8" t="s">
        <v>399</v>
      </c>
      <c r="N53" s="8" t="s">
        <v>22</v>
      </c>
      <c r="O53" s="8" t="s">
        <v>112</v>
      </c>
    </row>
    <row r="54" customFormat="false" ht="68.65" hidden="false" customHeight="false" outlineLevel="0" collapsed="false">
      <c r="A54" s="8" t="s">
        <v>727</v>
      </c>
      <c r="B54" s="8" t="s">
        <v>678</v>
      </c>
      <c r="C54" s="16" t="s">
        <v>7</v>
      </c>
      <c r="D54" s="8" t="s">
        <v>722</v>
      </c>
      <c r="E54" s="8" t="s">
        <v>728</v>
      </c>
      <c r="F54" s="20" t="s">
        <v>10</v>
      </c>
      <c r="G54" s="8" t="s">
        <v>729</v>
      </c>
      <c r="H54" s="8" t="s">
        <v>17</v>
      </c>
      <c r="I54" s="8" t="s">
        <v>682</v>
      </c>
      <c r="J54" s="8" t="s">
        <v>173</v>
      </c>
      <c r="K54" s="8" t="s">
        <v>78</v>
      </c>
      <c r="L54" s="8" t="s">
        <v>730</v>
      </c>
      <c r="M54" s="8" t="s">
        <v>42</v>
      </c>
      <c r="N54" s="8" t="s">
        <v>23</v>
      </c>
      <c r="O54" s="8" t="s">
        <v>112</v>
      </c>
    </row>
    <row r="55" customFormat="false" ht="46.25" hidden="false" customHeight="false" outlineLevel="0" collapsed="false">
      <c r="A55" s="8" t="s">
        <v>731</v>
      </c>
      <c r="B55" s="8" t="s">
        <v>678</v>
      </c>
      <c r="C55" s="15" t="s">
        <v>6</v>
      </c>
      <c r="D55" s="8" t="s">
        <v>722</v>
      </c>
      <c r="E55" s="8" t="s">
        <v>732</v>
      </c>
      <c r="F55" s="20" t="s">
        <v>10</v>
      </c>
      <c r="G55" s="8" t="s">
        <v>733</v>
      </c>
      <c r="H55" s="8" t="s">
        <v>17</v>
      </c>
      <c r="I55" s="8" t="s">
        <v>682</v>
      </c>
      <c r="J55" s="8" t="s">
        <v>734</v>
      </c>
      <c r="K55" s="8" t="s">
        <v>78</v>
      </c>
      <c r="L55" s="8" t="s">
        <v>735</v>
      </c>
      <c r="M55" s="8" t="s">
        <v>399</v>
      </c>
      <c r="N55" s="8" t="s">
        <v>23</v>
      </c>
      <c r="O55" s="8" t="s">
        <v>112</v>
      </c>
    </row>
    <row r="56" customFormat="false" ht="57.45" hidden="false" customHeight="false" outlineLevel="0" collapsed="false">
      <c r="A56" s="8" t="s">
        <v>741</v>
      </c>
      <c r="B56" s="8" t="s">
        <v>678</v>
      </c>
      <c r="C56" s="16" t="s">
        <v>7</v>
      </c>
      <c r="D56" s="8" t="s">
        <v>679</v>
      </c>
      <c r="E56" s="8" t="s">
        <v>742</v>
      </c>
      <c r="F56" s="20" t="s">
        <v>10</v>
      </c>
      <c r="G56" s="8" t="s">
        <v>743</v>
      </c>
      <c r="H56" s="8" t="s">
        <v>17</v>
      </c>
      <c r="I56" s="8" t="s">
        <v>682</v>
      </c>
      <c r="J56" s="8" t="s">
        <v>173</v>
      </c>
      <c r="K56" s="8" t="s">
        <v>78</v>
      </c>
      <c r="L56" s="8" t="s">
        <v>744</v>
      </c>
      <c r="M56" s="8" t="s">
        <v>42</v>
      </c>
      <c r="N56" s="8" t="s">
        <v>23</v>
      </c>
      <c r="O56" s="8" t="s">
        <v>112</v>
      </c>
    </row>
    <row r="57" customFormat="false" ht="46.25" hidden="false" customHeight="false" outlineLevel="0" collapsed="false">
      <c r="A57" s="8" t="s">
        <v>745</v>
      </c>
      <c r="B57" s="8" t="s">
        <v>678</v>
      </c>
      <c r="C57" s="9" t="s">
        <v>4</v>
      </c>
      <c r="D57" s="8" t="s">
        <v>722</v>
      </c>
      <c r="E57" s="8" t="s">
        <v>746</v>
      </c>
      <c r="F57" s="10" t="s">
        <v>9</v>
      </c>
      <c r="G57" s="8" t="s">
        <v>747</v>
      </c>
      <c r="H57" s="8" t="s">
        <v>17</v>
      </c>
      <c r="I57" s="8" t="s">
        <v>682</v>
      </c>
      <c r="J57" s="8" t="s">
        <v>748</v>
      </c>
      <c r="K57" s="8" t="s">
        <v>52</v>
      </c>
      <c r="L57" s="8" t="s">
        <v>749</v>
      </c>
      <c r="M57" s="8" t="s">
        <v>399</v>
      </c>
      <c r="N57" s="8" t="s">
        <v>22</v>
      </c>
      <c r="O57" s="8" t="s">
        <v>750</v>
      </c>
    </row>
    <row r="58" customFormat="false" ht="57.45" hidden="false" customHeight="false" outlineLevel="0" collapsed="false">
      <c r="A58" s="8" t="s">
        <v>751</v>
      </c>
      <c r="B58" s="8" t="s">
        <v>678</v>
      </c>
      <c r="C58" s="14" t="s">
        <v>5</v>
      </c>
      <c r="D58" s="8" t="s">
        <v>722</v>
      </c>
      <c r="E58" s="8" t="s">
        <v>752</v>
      </c>
      <c r="F58" s="10" t="s">
        <v>9</v>
      </c>
      <c r="G58" s="8" t="s">
        <v>753</v>
      </c>
      <c r="H58" s="8" t="s">
        <v>12</v>
      </c>
      <c r="I58" s="8" t="s">
        <v>754</v>
      </c>
      <c r="J58" s="8" t="s">
        <v>755</v>
      </c>
      <c r="K58" s="8" t="s">
        <v>52</v>
      </c>
      <c r="L58" s="8" t="s">
        <v>756</v>
      </c>
      <c r="M58" s="8" t="s">
        <v>399</v>
      </c>
      <c r="N58" s="8" t="s">
        <v>22</v>
      </c>
      <c r="O58" s="8" t="s">
        <v>112</v>
      </c>
    </row>
    <row r="59" customFormat="false" ht="68.65" hidden="false" customHeight="false" outlineLevel="0" collapsed="false">
      <c r="A59" s="8" t="s">
        <v>772</v>
      </c>
      <c r="B59" s="8" t="s">
        <v>678</v>
      </c>
      <c r="C59" s="16" t="s">
        <v>7</v>
      </c>
      <c r="D59" s="8" t="s">
        <v>722</v>
      </c>
      <c r="E59" s="8" t="s">
        <v>773</v>
      </c>
      <c r="F59" s="10" t="s">
        <v>9</v>
      </c>
      <c r="G59" s="8" t="s">
        <v>774</v>
      </c>
      <c r="H59" s="8" t="s">
        <v>12</v>
      </c>
      <c r="I59" s="8" t="s">
        <v>775</v>
      </c>
      <c r="J59" s="8" t="s">
        <v>776</v>
      </c>
      <c r="K59" s="8" t="s">
        <v>78</v>
      </c>
      <c r="L59" s="8" t="s">
        <v>777</v>
      </c>
      <c r="M59" s="8" t="s">
        <v>399</v>
      </c>
      <c r="N59" s="8" t="s">
        <v>22</v>
      </c>
      <c r="O59" s="8" t="s">
        <v>778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10"/>
    <col collapsed="false" customWidth="true" hidden="false" outlineLevel="0" max="4" min="4" style="0" width="18"/>
    <col collapsed="false" customWidth="true" hidden="false" outlineLevel="0" max="5" min="5" style="0" width="50"/>
    <col collapsed="false" customWidth="true" hidden="false" outlineLevel="0" max="6" min="6" style="0" width="14"/>
    <col collapsed="false" customWidth="true" hidden="false" outlineLevel="0" max="7" min="7" style="0" width="50"/>
    <col collapsed="false" customWidth="true" hidden="false" outlineLevel="0" max="8" min="8" style="0" width="16"/>
    <col collapsed="false" customWidth="true" hidden="false" outlineLevel="0" max="9" min="9" style="0" width="45"/>
    <col collapsed="false" customWidth="true" hidden="false" outlineLevel="0" max="10" min="10" style="0" width="50"/>
    <col collapsed="false" customWidth="true" hidden="false" outlineLevel="0" max="11" min="11" style="0" width="10"/>
    <col collapsed="false" customWidth="true" hidden="false" outlineLevel="0" max="12" min="12" style="0" width="50"/>
    <col collapsed="false" customWidth="true" hidden="false" outlineLevel="0" max="13" min="13" style="0" width="22"/>
    <col collapsed="false" customWidth="true" hidden="false" outlineLevel="0" max="14" min="14" style="0" width="18"/>
    <col collapsed="false" customWidth="true" hidden="false" outlineLevel="0" max="15" min="15" style="0" width="45"/>
  </cols>
  <sheetData>
    <row r="1" customFormat="false" ht="17.35" hidden="false" customHeight="false" outlineLevel="0" collapsed="false">
      <c r="A1" s="1" t="s">
        <v>783</v>
      </c>
    </row>
    <row r="2" customFormat="false" ht="15" hidden="false" customHeight="false" outlineLevel="0" collapsed="false">
      <c r="A2" s="6" t="s">
        <v>784</v>
      </c>
    </row>
    <row r="4" customFormat="false" ht="35.05" hidden="false" customHeight="false" outlineLevel="0" collapsed="false">
      <c r="A4" s="7" t="s">
        <v>31</v>
      </c>
      <c r="B4" s="7" t="s">
        <v>32</v>
      </c>
      <c r="C4" s="7" t="s">
        <v>33</v>
      </c>
      <c r="D4" s="7" t="s">
        <v>34</v>
      </c>
      <c r="E4" s="7" t="s">
        <v>35</v>
      </c>
      <c r="F4" s="7" t="s">
        <v>36</v>
      </c>
      <c r="G4" s="7" t="s">
        <v>37</v>
      </c>
      <c r="H4" s="7" t="s">
        <v>38</v>
      </c>
      <c r="I4" s="7" t="s">
        <v>39</v>
      </c>
      <c r="J4" s="7" t="s">
        <v>40</v>
      </c>
      <c r="K4" s="7" t="s">
        <v>41</v>
      </c>
      <c r="L4" s="7" t="s">
        <v>42</v>
      </c>
      <c r="M4" s="7" t="s">
        <v>43</v>
      </c>
      <c r="N4" s="7" t="s">
        <v>18</v>
      </c>
      <c r="O4" s="7" t="s">
        <v>44</v>
      </c>
    </row>
    <row r="5" customFormat="false" ht="68.65" hidden="false" customHeight="false" outlineLevel="0" collapsed="false">
      <c r="A5" s="8" t="s">
        <v>155</v>
      </c>
      <c r="B5" s="8" t="s">
        <v>46</v>
      </c>
      <c r="C5" s="16" t="s">
        <v>7</v>
      </c>
      <c r="D5" s="8" t="s">
        <v>136</v>
      </c>
      <c r="E5" s="8" t="s">
        <v>156</v>
      </c>
      <c r="F5" s="10" t="s">
        <v>9</v>
      </c>
      <c r="G5" s="8" t="s">
        <v>157</v>
      </c>
      <c r="H5" s="13" t="s">
        <v>15</v>
      </c>
      <c r="I5" s="8" t="s">
        <v>158</v>
      </c>
      <c r="J5" s="8" t="s">
        <v>159</v>
      </c>
      <c r="K5" s="8" t="s">
        <v>78</v>
      </c>
      <c r="L5" s="8" t="s">
        <v>160</v>
      </c>
      <c r="M5" s="8" t="s">
        <v>54</v>
      </c>
      <c r="N5" s="17" t="s">
        <v>24</v>
      </c>
      <c r="O5" s="8" t="s">
        <v>161</v>
      </c>
    </row>
    <row r="6" customFormat="false" ht="68.65" hidden="false" customHeight="false" outlineLevel="0" collapsed="false">
      <c r="A6" s="8" t="s">
        <v>162</v>
      </c>
      <c r="B6" s="8" t="s">
        <v>46</v>
      </c>
      <c r="C6" s="16" t="s">
        <v>7</v>
      </c>
      <c r="D6" s="8" t="s">
        <v>136</v>
      </c>
      <c r="E6" s="8" t="s">
        <v>163</v>
      </c>
      <c r="F6" s="10" t="s">
        <v>9</v>
      </c>
      <c r="G6" s="8" t="s">
        <v>164</v>
      </c>
      <c r="H6" s="11" t="s">
        <v>14</v>
      </c>
      <c r="I6" s="8" t="s">
        <v>165</v>
      </c>
      <c r="J6" s="8" t="s">
        <v>166</v>
      </c>
      <c r="K6" s="8" t="s">
        <v>78</v>
      </c>
      <c r="L6" s="8" t="s">
        <v>167</v>
      </c>
      <c r="M6" s="8" t="s">
        <v>54</v>
      </c>
      <c r="N6" s="18" t="s">
        <v>25</v>
      </c>
      <c r="O6" s="8" t="s">
        <v>168</v>
      </c>
    </row>
    <row r="7" customFormat="false" ht="57.45" hidden="false" customHeight="false" outlineLevel="0" collapsed="false">
      <c r="A7" s="8" t="s">
        <v>671</v>
      </c>
      <c r="B7" s="8" t="s">
        <v>46</v>
      </c>
      <c r="C7" s="16" t="s">
        <v>7</v>
      </c>
      <c r="D7" s="8" t="s">
        <v>574</v>
      </c>
      <c r="E7" s="8" t="s">
        <v>672</v>
      </c>
      <c r="F7" s="10" t="s">
        <v>9</v>
      </c>
      <c r="G7" s="8" t="s">
        <v>673</v>
      </c>
      <c r="H7" s="11" t="s">
        <v>14</v>
      </c>
      <c r="I7" s="8" t="s">
        <v>674</v>
      </c>
      <c r="J7" s="8" t="s">
        <v>173</v>
      </c>
      <c r="K7" s="8" t="s">
        <v>78</v>
      </c>
      <c r="L7" s="8" t="s">
        <v>675</v>
      </c>
      <c r="M7" s="8" t="s">
        <v>273</v>
      </c>
      <c r="N7" s="18" t="s">
        <v>25</v>
      </c>
      <c r="O7" s="8" t="s">
        <v>676</v>
      </c>
    </row>
    <row r="8" customFormat="false" ht="79.85" hidden="false" customHeight="false" outlineLevel="0" collapsed="false">
      <c r="A8" s="8" t="s">
        <v>677</v>
      </c>
      <c r="B8" s="8" t="s">
        <v>678</v>
      </c>
      <c r="C8" s="14" t="s">
        <v>5</v>
      </c>
      <c r="D8" s="8" t="s">
        <v>679</v>
      </c>
      <c r="E8" s="8" t="s">
        <v>680</v>
      </c>
      <c r="F8" s="10" t="s">
        <v>9</v>
      </c>
      <c r="G8" s="8" t="s">
        <v>681</v>
      </c>
      <c r="H8" s="8" t="s">
        <v>17</v>
      </c>
      <c r="I8" s="8" t="s">
        <v>682</v>
      </c>
      <c r="J8" s="8" t="s">
        <v>683</v>
      </c>
      <c r="K8" s="8" t="s">
        <v>78</v>
      </c>
      <c r="L8" s="8" t="s">
        <v>684</v>
      </c>
      <c r="M8" s="8" t="s">
        <v>42</v>
      </c>
      <c r="N8" s="10" t="s">
        <v>20</v>
      </c>
      <c r="O8" s="8" t="s">
        <v>685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10"/>
    <col collapsed="false" customWidth="true" hidden="false" outlineLevel="0" max="4" min="4" style="0" width="18"/>
    <col collapsed="false" customWidth="true" hidden="false" outlineLevel="0" max="5" min="5" style="0" width="50"/>
    <col collapsed="false" customWidth="true" hidden="false" outlineLevel="0" max="6" min="6" style="0" width="14"/>
    <col collapsed="false" customWidth="true" hidden="false" outlineLevel="0" max="7" min="7" style="0" width="50"/>
    <col collapsed="false" customWidth="true" hidden="false" outlineLevel="0" max="8" min="8" style="0" width="16"/>
    <col collapsed="false" customWidth="true" hidden="false" outlineLevel="0" max="9" min="9" style="0" width="45"/>
    <col collapsed="false" customWidth="true" hidden="false" outlineLevel="0" max="10" min="10" style="0" width="50"/>
    <col collapsed="false" customWidth="true" hidden="false" outlineLevel="0" max="11" min="11" style="0" width="10"/>
    <col collapsed="false" customWidth="true" hidden="false" outlineLevel="0" max="12" min="12" style="0" width="50"/>
    <col collapsed="false" customWidth="true" hidden="false" outlineLevel="0" max="13" min="13" style="0" width="22"/>
    <col collapsed="false" customWidth="true" hidden="false" outlineLevel="0" max="14" min="14" style="0" width="18"/>
    <col collapsed="false" customWidth="true" hidden="false" outlineLevel="0" max="15" min="15" style="0" width="45"/>
  </cols>
  <sheetData>
    <row r="1" customFormat="false" ht="17.35" hidden="false" customHeight="false" outlineLevel="0" collapsed="false">
      <c r="A1" s="1" t="s">
        <v>180</v>
      </c>
    </row>
    <row r="2" customFormat="false" ht="15" hidden="false" customHeight="false" outlineLevel="0" collapsed="false">
      <c r="A2" s="6" t="s">
        <v>785</v>
      </c>
    </row>
    <row r="4" customFormat="false" ht="35.05" hidden="false" customHeight="false" outlineLevel="0" collapsed="false">
      <c r="A4" s="7" t="s">
        <v>31</v>
      </c>
      <c r="B4" s="7" t="s">
        <v>32</v>
      </c>
      <c r="C4" s="7" t="s">
        <v>33</v>
      </c>
      <c r="D4" s="7" t="s">
        <v>34</v>
      </c>
      <c r="E4" s="7" t="s">
        <v>35</v>
      </c>
      <c r="F4" s="7" t="s">
        <v>36</v>
      </c>
      <c r="G4" s="7" t="s">
        <v>37</v>
      </c>
      <c r="H4" s="7" t="s">
        <v>38</v>
      </c>
      <c r="I4" s="7" t="s">
        <v>39</v>
      </c>
      <c r="J4" s="7" t="s">
        <v>40</v>
      </c>
      <c r="K4" s="7" t="s">
        <v>41</v>
      </c>
      <c r="L4" s="7" t="s">
        <v>42</v>
      </c>
      <c r="M4" s="7" t="s">
        <v>43</v>
      </c>
      <c r="N4" s="7" t="s">
        <v>18</v>
      </c>
      <c r="O4" s="7" t="s">
        <v>44</v>
      </c>
    </row>
    <row r="5" customFormat="false" ht="46.25" hidden="false" customHeight="false" outlineLevel="0" collapsed="false">
      <c r="A5" s="8" t="s">
        <v>174</v>
      </c>
      <c r="B5" s="8" t="s">
        <v>46</v>
      </c>
      <c r="C5" s="16" t="s">
        <v>7</v>
      </c>
      <c r="D5" s="8" t="s">
        <v>136</v>
      </c>
      <c r="E5" s="8" t="s">
        <v>175</v>
      </c>
      <c r="F5" s="19" t="s">
        <v>11</v>
      </c>
      <c r="G5" s="8" t="s">
        <v>176</v>
      </c>
      <c r="H5" s="8" t="s">
        <v>17</v>
      </c>
      <c r="I5" s="8" t="s">
        <v>177</v>
      </c>
      <c r="J5" s="8" t="s">
        <v>178</v>
      </c>
      <c r="K5" s="8" t="s">
        <v>52</v>
      </c>
      <c r="L5" s="8" t="s">
        <v>179</v>
      </c>
      <c r="M5" s="8" t="s">
        <v>180</v>
      </c>
      <c r="N5" s="8" t="s">
        <v>21</v>
      </c>
      <c r="O5" s="8" t="s">
        <v>181</v>
      </c>
    </row>
    <row r="6" customFormat="false" ht="46.25" hidden="false" customHeight="false" outlineLevel="0" collapsed="false">
      <c r="A6" s="8" t="s">
        <v>219</v>
      </c>
      <c r="B6" s="8" t="s">
        <v>46</v>
      </c>
      <c r="C6" s="16" t="s">
        <v>7</v>
      </c>
      <c r="D6" s="8" t="s">
        <v>183</v>
      </c>
      <c r="E6" s="8" t="s">
        <v>220</v>
      </c>
      <c r="F6" s="19" t="s">
        <v>11</v>
      </c>
      <c r="G6" s="8" t="s">
        <v>221</v>
      </c>
      <c r="H6" s="8" t="s">
        <v>12</v>
      </c>
      <c r="I6" s="8" t="s">
        <v>222</v>
      </c>
      <c r="J6" s="8" t="s">
        <v>173</v>
      </c>
      <c r="K6" s="8" t="s">
        <v>78</v>
      </c>
      <c r="L6" s="8" t="s">
        <v>179</v>
      </c>
      <c r="M6" s="8" t="s">
        <v>180</v>
      </c>
      <c r="N6" s="8" t="s">
        <v>21</v>
      </c>
      <c r="O6" s="8" t="s">
        <v>112</v>
      </c>
    </row>
    <row r="7" customFormat="false" ht="57.45" hidden="false" customHeight="false" outlineLevel="0" collapsed="false">
      <c r="A7" s="8" t="s">
        <v>267</v>
      </c>
      <c r="B7" s="8" t="s">
        <v>46</v>
      </c>
      <c r="C7" s="15" t="s">
        <v>6</v>
      </c>
      <c r="D7" s="8" t="s">
        <v>230</v>
      </c>
      <c r="E7" s="8" t="s">
        <v>268</v>
      </c>
      <c r="F7" s="10" t="s">
        <v>9</v>
      </c>
      <c r="G7" s="8" t="s">
        <v>269</v>
      </c>
      <c r="H7" s="11" t="s">
        <v>14</v>
      </c>
      <c r="I7" s="8" t="s">
        <v>270</v>
      </c>
      <c r="J7" s="8" t="s">
        <v>271</v>
      </c>
      <c r="K7" s="8" t="s">
        <v>52</v>
      </c>
      <c r="L7" s="8" t="s">
        <v>272</v>
      </c>
      <c r="M7" s="8" t="s">
        <v>273</v>
      </c>
      <c r="N7" s="8" t="s">
        <v>22</v>
      </c>
      <c r="O7" s="8" t="s">
        <v>274</v>
      </c>
    </row>
    <row r="8" customFormat="false" ht="79.85" hidden="false" customHeight="false" outlineLevel="0" collapsed="false">
      <c r="A8" s="8" t="s">
        <v>281</v>
      </c>
      <c r="B8" s="8" t="s">
        <v>46</v>
      </c>
      <c r="C8" s="9" t="s">
        <v>4</v>
      </c>
      <c r="D8" s="8" t="s">
        <v>282</v>
      </c>
      <c r="E8" s="8" t="s">
        <v>283</v>
      </c>
      <c r="F8" s="12" t="s">
        <v>8</v>
      </c>
      <c r="G8" s="8" t="s">
        <v>284</v>
      </c>
      <c r="H8" s="11" t="s">
        <v>14</v>
      </c>
      <c r="I8" s="8" t="s">
        <v>285</v>
      </c>
      <c r="J8" s="8" t="s">
        <v>286</v>
      </c>
      <c r="K8" s="8" t="s">
        <v>52</v>
      </c>
      <c r="L8" s="8" t="s">
        <v>287</v>
      </c>
      <c r="M8" s="8" t="s">
        <v>288</v>
      </c>
      <c r="N8" s="8" t="s">
        <v>21</v>
      </c>
      <c r="O8" s="8" t="s">
        <v>289</v>
      </c>
    </row>
    <row r="9" customFormat="false" ht="68.65" hidden="false" customHeight="false" outlineLevel="0" collapsed="false">
      <c r="A9" s="8" t="s">
        <v>290</v>
      </c>
      <c r="B9" s="8" t="s">
        <v>46</v>
      </c>
      <c r="C9" s="14" t="s">
        <v>5</v>
      </c>
      <c r="D9" s="8" t="s">
        <v>291</v>
      </c>
      <c r="E9" s="8" t="s">
        <v>292</v>
      </c>
      <c r="F9" s="20" t="s">
        <v>10</v>
      </c>
      <c r="G9" s="8" t="s">
        <v>293</v>
      </c>
      <c r="H9" s="11" t="s">
        <v>14</v>
      </c>
      <c r="I9" s="8" t="s">
        <v>294</v>
      </c>
      <c r="J9" s="8" t="s">
        <v>295</v>
      </c>
      <c r="K9" s="8" t="s">
        <v>78</v>
      </c>
      <c r="L9" s="8" t="s">
        <v>296</v>
      </c>
      <c r="M9" s="8" t="s">
        <v>273</v>
      </c>
      <c r="N9" s="8" t="s">
        <v>23</v>
      </c>
      <c r="O9" s="8" t="s">
        <v>297</v>
      </c>
    </row>
    <row r="10" customFormat="false" ht="46.25" hidden="false" customHeight="false" outlineLevel="0" collapsed="false">
      <c r="A10" s="8" t="s">
        <v>306</v>
      </c>
      <c r="B10" s="8" t="s">
        <v>46</v>
      </c>
      <c r="C10" s="15" t="s">
        <v>6</v>
      </c>
      <c r="D10" s="8" t="s">
        <v>282</v>
      </c>
      <c r="E10" s="8" t="s">
        <v>307</v>
      </c>
      <c r="F10" s="12" t="s">
        <v>8</v>
      </c>
      <c r="G10" s="8" t="s">
        <v>308</v>
      </c>
      <c r="H10" s="13" t="s">
        <v>15</v>
      </c>
      <c r="I10" s="8" t="s">
        <v>309</v>
      </c>
      <c r="J10" s="8" t="s">
        <v>310</v>
      </c>
      <c r="K10" s="8" t="s">
        <v>52</v>
      </c>
      <c r="L10" s="8" t="s">
        <v>311</v>
      </c>
      <c r="M10" s="8" t="s">
        <v>288</v>
      </c>
      <c r="N10" s="8" t="s">
        <v>21</v>
      </c>
      <c r="O10" s="8" t="s">
        <v>112</v>
      </c>
    </row>
    <row r="11" customFormat="false" ht="68.65" hidden="false" customHeight="false" outlineLevel="0" collapsed="false">
      <c r="A11" s="8" t="s">
        <v>318</v>
      </c>
      <c r="B11" s="8" t="s">
        <v>46</v>
      </c>
      <c r="C11" s="15" t="s">
        <v>6</v>
      </c>
      <c r="D11" s="8" t="s">
        <v>282</v>
      </c>
      <c r="E11" s="8" t="s">
        <v>319</v>
      </c>
      <c r="F11" s="10" t="s">
        <v>9</v>
      </c>
      <c r="G11" s="8" t="s">
        <v>320</v>
      </c>
      <c r="H11" s="13" t="s">
        <v>15</v>
      </c>
      <c r="I11" s="8" t="s">
        <v>321</v>
      </c>
      <c r="J11" s="8" t="s">
        <v>322</v>
      </c>
      <c r="K11" s="8" t="s">
        <v>52</v>
      </c>
      <c r="L11" s="8" t="s">
        <v>323</v>
      </c>
      <c r="M11" s="8" t="s">
        <v>273</v>
      </c>
      <c r="N11" s="8" t="s">
        <v>22</v>
      </c>
      <c r="O11" s="8" t="s">
        <v>324</v>
      </c>
    </row>
    <row r="12" customFormat="false" ht="35.05" hidden="false" customHeight="false" outlineLevel="0" collapsed="false">
      <c r="A12" s="8" t="s">
        <v>325</v>
      </c>
      <c r="B12" s="8" t="s">
        <v>46</v>
      </c>
      <c r="C12" s="16" t="s">
        <v>7</v>
      </c>
      <c r="D12" s="8" t="s">
        <v>282</v>
      </c>
      <c r="E12" s="8" t="s">
        <v>326</v>
      </c>
      <c r="F12" s="19" t="s">
        <v>11</v>
      </c>
      <c r="G12" s="8" t="s">
        <v>327</v>
      </c>
      <c r="H12" s="11" t="s">
        <v>14</v>
      </c>
      <c r="I12" s="8" t="s">
        <v>328</v>
      </c>
      <c r="J12" s="8" t="s">
        <v>173</v>
      </c>
      <c r="K12" s="8" t="s">
        <v>78</v>
      </c>
      <c r="L12" s="8" t="s">
        <v>179</v>
      </c>
      <c r="M12" s="8" t="s">
        <v>329</v>
      </c>
      <c r="N12" s="8" t="s">
        <v>21</v>
      </c>
      <c r="O12" s="8" t="s">
        <v>112</v>
      </c>
    </row>
    <row r="13" customFormat="false" ht="57.45" hidden="false" customHeight="false" outlineLevel="0" collapsed="false">
      <c r="A13" s="8" t="s">
        <v>344</v>
      </c>
      <c r="B13" s="8" t="s">
        <v>46</v>
      </c>
      <c r="C13" s="15" t="s">
        <v>6</v>
      </c>
      <c r="D13" s="8" t="s">
        <v>331</v>
      </c>
      <c r="E13" s="8" t="s">
        <v>345</v>
      </c>
      <c r="F13" s="12" t="s">
        <v>8</v>
      </c>
      <c r="G13" s="8" t="s">
        <v>346</v>
      </c>
      <c r="H13" s="8" t="s">
        <v>17</v>
      </c>
      <c r="I13" s="8" t="s">
        <v>347</v>
      </c>
      <c r="J13" s="8" t="s">
        <v>348</v>
      </c>
      <c r="K13" s="8" t="s">
        <v>78</v>
      </c>
      <c r="L13" s="8" t="s">
        <v>349</v>
      </c>
      <c r="M13" s="8" t="s">
        <v>350</v>
      </c>
      <c r="N13" s="8" t="s">
        <v>21</v>
      </c>
      <c r="O13" s="8" t="s">
        <v>112</v>
      </c>
    </row>
    <row r="14" customFormat="false" ht="46.25" hidden="false" customHeight="false" outlineLevel="0" collapsed="false">
      <c r="A14" s="8" t="s">
        <v>393</v>
      </c>
      <c r="B14" s="8" t="s">
        <v>46</v>
      </c>
      <c r="C14" s="15" t="s">
        <v>6</v>
      </c>
      <c r="D14" s="8" t="s">
        <v>374</v>
      </c>
      <c r="E14" s="8" t="s">
        <v>394</v>
      </c>
      <c r="F14" s="10" t="s">
        <v>9</v>
      </c>
      <c r="G14" s="8" t="s">
        <v>395</v>
      </c>
      <c r="H14" s="12" t="s">
        <v>16</v>
      </c>
      <c r="I14" s="8" t="s">
        <v>396</v>
      </c>
      <c r="J14" s="8" t="s">
        <v>397</v>
      </c>
      <c r="K14" s="8" t="s">
        <v>52</v>
      </c>
      <c r="L14" s="8" t="s">
        <v>398</v>
      </c>
      <c r="M14" s="8" t="s">
        <v>399</v>
      </c>
      <c r="N14" s="8" t="s">
        <v>22</v>
      </c>
      <c r="O14" s="8" t="s">
        <v>112</v>
      </c>
    </row>
    <row r="15" customFormat="false" ht="57.45" hidden="false" customHeight="false" outlineLevel="0" collapsed="false">
      <c r="A15" s="8" t="s">
        <v>400</v>
      </c>
      <c r="B15" s="8" t="s">
        <v>46</v>
      </c>
      <c r="C15" s="15" t="s">
        <v>6</v>
      </c>
      <c r="D15" s="8" t="s">
        <v>374</v>
      </c>
      <c r="E15" s="8" t="s">
        <v>401</v>
      </c>
      <c r="F15" s="10" t="s">
        <v>9</v>
      </c>
      <c r="G15" s="8" t="s">
        <v>402</v>
      </c>
      <c r="H15" s="13" t="s">
        <v>15</v>
      </c>
      <c r="I15" s="8" t="s">
        <v>403</v>
      </c>
      <c r="J15" s="8" t="s">
        <v>404</v>
      </c>
      <c r="K15" s="8" t="s">
        <v>52</v>
      </c>
      <c r="L15" s="8" t="s">
        <v>405</v>
      </c>
      <c r="M15" s="8" t="s">
        <v>273</v>
      </c>
      <c r="N15" s="8" t="s">
        <v>22</v>
      </c>
      <c r="O15" s="8" t="s">
        <v>112</v>
      </c>
    </row>
    <row r="16" customFormat="false" ht="57.45" hidden="false" customHeight="false" outlineLevel="0" collapsed="false">
      <c r="A16" s="8" t="s">
        <v>427</v>
      </c>
      <c r="B16" s="8" t="s">
        <v>46</v>
      </c>
      <c r="C16" s="14" t="s">
        <v>5</v>
      </c>
      <c r="D16" s="8" t="s">
        <v>420</v>
      </c>
      <c r="E16" s="8" t="s">
        <v>428</v>
      </c>
      <c r="F16" s="10" t="s">
        <v>9</v>
      </c>
      <c r="G16" s="8" t="s">
        <v>429</v>
      </c>
      <c r="H16" s="8" t="s">
        <v>12</v>
      </c>
      <c r="I16" s="8" t="s">
        <v>430</v>
      </c>
      <c r="J16" s="8" t="s">
        <v>431</v>
      </c>
      <c r="K16" s="8" t="s">
        <v>78</v>
      </c>
      <c r="L16" s="8" t="s">
        <v>432</v>
      </c>
      <c r="M16" s="8" t="s">
        <v>399</v>
      </c>
      <c r="N16" s="8" t="s">
        <v>22</v>
      </c>
      <c r="O16" s="8" t="s">
        <v>433</v>
      </c>
    </row>
    <row r="17" customFormat="false" ht="46.25" hidden="false" customHeight="false" outlineLevel="0" collapsed="false">
      <c r="A17" s="8" t="s">
        <v>448</v>
      </c>
      <c r="B17" s="8" t="s">
        <v>46</v>
      </c>
      <c r="C17" s="15" t="s">
        <v>6</v>
      </c>
      <c r="D17" s="8" t="s">
        <v>420</v>
      </c>
      <c r="E17" s="8" t="s">
        <v>449</v>
      </c>
      <c r="F17" s="12" t="s">
        <v>8</v>
      </c>
      <c r="G17" s="8" t="s">
        <v>450</v>
      </c>
      <c r="H17" s="12" t="s">
        <v>16</v>
      </c>
      <c r="I17" s="8" t="s">
        <v>451</v>
      </c>
      <c r="J17" s="8" t="s">
        <v>452</v>
      </c>
      <c r="K17" s="8" t="s">
        <v>52</v>
      </c>
      <c r="L17" s="8" t="s">
        <v>453</v>
      </c>
      <c r="M17" s="8" t="s">
        <v>350</v>
      </c>
      <c r="N17" s="8" t="s">
        <v>21</v>
      </c>
      <c r="O17" s="8" t="s">
        <v>454</v>
      </c>
    </row>
    <row r="18" customFormat="false" ht="35.05" hidden="false" customHeight="false" outlineLevel="0" collapsed="false">
      <c r="A18" s="8" t="s">
        <v>461</v>
      </c>
      <c r="B18" s="8" t="s">
        <v>46</v>
      </c>
      <c r="C18" s="15" t="s">
        <v>6</v>
      </c>
      <c r="D18" s="8" t="s">
        <v>420</v>
      </c>
      <c r="E18" s="8" t="s">
        <v>462</v>
      </c>
      <c r="F18" s="19" t="s">
        <v>11</v>
      </c>
      <c r="G18" s="8" t="s">
        <v>463</v>
      </c>
      <c r="H18" s="12" t="s">
        <v>16</v>
      </c>
      <c r="I18" s="8" t="s">
        <v>464</v>
      </c>
      <c r="J18" s="8" t="s">
        <v>465</v>
      </c>
      <c r="K18" s="8" t="s">
        <v>52</v>
      </c>
      <c r="L18" s="8" t="s">
        <v>179</v>
      </c>
      <c r="M18" s="8" t="s">
        <v>180</v>
      </c>
      <c r="N18" s="8" t="s">
        <v>21</v>
      </c>
      <c r="O18" s="8" t="s">
        <v>112</v>
      </c>
    </row>
    <row r="19" customFormat="false" ht="23.85" hidden="false" customHeight="false" outlineLevel="0" collapsed="false">
      <c r="A19" s="8" t="s">
        <v>466</v>
      </c>
      <c r="B19" s="8" t="s">
        <v>46</v>
      </c>
      <c r="C19" s="16" t="s">
        <v>7</v>
      </c>
      <c r="D19" s="8" t="s">
        <v>420</v>
      </c>
      <c r="E19" s="8" t="s">
        <v>467</v>
      </c>
      <c r="F19" s="19" t="s">
        <v>11</v>
      </c>
      <c r="G19" s="8" t="s">
        <v>468</v>
      </c>
      <c r="H19" s="11" t="s">
        <v>14</v>
      </c>
      <c r="I19" s="8" t="s">
        <v>469</v>
      </c>
      <c r="J19" s="8" t="s">
        <v>173</v>
      </c>
      <c r="K19" s="8" t="s">
        <v>78</v>
      </c>
      <c r="L19" s="8" t="s">
        <v>179</v>
      </c>
      <c r="M19" s="8" t="s">
        <v>329</v>
      </c>
      <c r="N19" s="8" t="s">
        <v>21</v>
      </c>
      <c r="O19" s="8" t="s">
        <v>112</v>
      </c>
    </row>
    <row r="20" customFormat="false" ht="23.85" hidden="false" customHeight="false" outlineLevel="0" collapsed="false">
      <c r="A20" s="8" t="s">
        <v>492</v>
      </c>
      <c r="B20" s="8" t="s">
        <v>46</v>
      </c>
      <c r="C20" s="15" t="s">
        <v>6</v>
      </c>
      <c r="D20" s="8" t="s">
        <v>471</v>
      </c>
      <c r="E20" s="8" t="s">
        <v>493</v>
      </c>
      <c r="F20" s="19" t="s">
        <v>11</v>
      </c>
      <c r="G20" s="8" t="s">
        <v>494</v>
      </c>
      <c r="H20" s="11" t="s">
        <v>14</v>
      </c>
      <c r="I20" s="8" t="s">
        <v>495</v>
      </c>
      <c r="J20" s="8" t="s">
        <v>173</v>
      </c>
      <c r="K20" s="8" t="s">
        <v>78</v>
      </c>
      <c r="L20" s="8" t="s">
        <v>179</v>
      </c>
      <c r="M20" s="8" t="s">
        <v>329</v>
      </c>
      <c r="N20" s="8" t="s">
        <v>21</v>
      </c>
      <c r="O20" s="8" t="s">
        <v>112</v>
      </c>
    </row>
    <row r="21" customFormat="false" ht="46.25" hidden="false" customHeight="false" outlineLevel="0" collapsed="false">
      <c r="A21" s="8" t="s">
        <v>496</v>
      </c>
      <c r="B21" s="8" t="s">
        <v>46</v>
      </c>
      <c r="C21" s="16" t="s">
        <v>7</v>
      </c>
      <c r="D21" s="8" t="s">
        <v>471</v>
      </c>
      <c r="E21" s="8" t="s">
        <v>497</v>
      </c>
      <c r="F21" s="19" t="s">
        <v>11</v>
      </c>
      <c r="G21" s="8" t="s">
        <v>498</v>
      </c>
      <c r="H21" s="11" t="s">
        <v>14</v>
      </c>
      <c r="I21" s="8" t="s">
        <v>499</v>
      </c>
      <c r="J21" s="8" t="s">
        <v>500</v>
      </c>
      <c r="K21" s="8" t="s">
        <v>52</v>
      </c>
      <c r="L21" s="8" t="s">
        <v>179</v>
      </c>
      <c r="M21" s="8" t="s">
        <v>329</v>
      </c>
      <c r="N21" s="8" t="s">
        <v>21</v>
      </c>
      <c r="O21" s="8" t="s">
        <v>112</v>
      </c>
    </row>
    <row r="22" customFormat="false" ht="35.05" hidden="false" customHeight="false" outlineLevel="0" collapsed="false">
      <c r="A22" s="8" t="s">
        <v>501</v>
      </c>
      <c r="B22" s="8" t="s">
        <v>46</v>
      </c>
      <c r="C22" s="16" t="s">
        <v>7</v>
      </c>
      <c r="D22" s="8" t="s">
        <v>471</v>
      </c>
      <c r="E22" s="8" t="s">
        <v>502</v>
      </c>
      <c r="F22" s="19" t="s">
        <v>11</v>
      </c>
      <c r="G22" s="8" t="s">
        <v>503</v>
      </c>
      <c r="H22" s="11" t="s">
        <v>14</v>
      </c>
      <c r="I22" s="8" t="s">
        <v>504</v>
      </c>
      <c r="J22" s="8" t="s">
        <v>173</v>
      </c>
      <c r="K22" s="8" t="s">
        <v>78</v>
      </c>
      <c r="L22" s="8" t="s">
        <v>179</v>
      </c>
      <c r="M22" s="8" t="s">
        <v>329</v>
      </c>
      <c r="N22" s="8" t="s">
        <v>21</v>
      </c>
      <c r="O22" s="8" t="s">
        <v>112</v>
      </c>
    </row>
    <row r="23" customFormat="false" ht="57.45" hidden="false" customHeight="false" outlineLevel="0" collapsed="false">
      <c r="A23" s="8" t="s">
        <v>530</v>
      </c>
      <c r="B23" s="8" t="s">
        <v>46</v>
      </c>
      <c r="C23" s="14" t="s">
        <v>5</v>
      </c>
      <c r="D23" s="8" t="s">
        <v>512</v>
      </c>
      <c r="E23" s="8" t="s">
        <v>531</v>
      </c>
      <c r="F23" s="10" t="s">
        <v>9</v>
      </c>
      <c r="G23" s="8" t="s">
        <v>532</v>
      </c>
      <c r="H23" s="8" t="s">
        <v>17</v>
      </c>
      <c r="I23" s="8" t="s">
        <v>533</v>
      </c>
      <c r="J23" s="8" t="s">
        <v>534</v>
      </c>
      <c r="K23" s="8" t="s">
        <v>78</v>
      </c>
      <c r="L23" s="8" t="s">
        <v>535</v>
      </c>
      <c r="M23" s="8" t="s">
        <v>399</v>
      </c>
      <c r="N23" s="8" t="s">
        <v>22</v>
      </c>
      <c r="O23" s="8" t="s">
        <v>536</v>
      </c>
    </row>
    <row r="24" customFormat="false" ht="68.65" hidden="false" customHeight="false" outlineLevel="0" collapsed="false">
      <c r="A24" s="8" t="s">
        <v>565</v>
      </c>
      <c r="B24" s="8" t="s">
        <v>46</v>
      </c>
      <c r="C24" s="15" t="s">
        <v>6</v>
      </c>
      <c r="D24" s="8" t="s">
        <v>566</v>
      </c>
      <c r="E24" s="8" t="s">
        <v>567</v>
      </c>
      <c r="F24" s="12" t="s">
        <v>8</v>
      </c>
      <c r="G24" s="8" t="s">
        <v>568</v>
      </c>
      <c r="H24" s="13" t="s">
        <v>15</v>
      </c>
      <c r="I24" s="8" t="s">
        <v>569</v>
      </c>
      <c r="J24" s="8" t="s">
        <v>570</v>
      </c>
      <c r="K24" s="8" t="s">
        <v>78</v>
      </c>
      <c r="L24" s="8" t="s">
        <v>571</v>
      </c>
      <c r="M24" s="8" t="s">
        <v>288</v>
      </c>
      <c r="N24" s="8" t="s">
        <v>21</v>
      </c>
      <c r="O24" s="8" t="s">
        <v>572</v>
      </c>
    </row>
    <row r="25" customFormat="false" ht="68.65" hidden="false" customHeight="false" outlineLevel="0" collapsed="false">
      <c r="A25" s="8" t="s">
        <v>573</v>
      </c>
      <c r="B25" s="8" t="s">
        <v>46</v>
      </c>
      <c r="C25" s="9" t="s">
        <v>4</v>
      </c>
      <c r="D25" s="8" t="s">
        <v>574</v>
      </c>
      <c r="E25" s="8" t="s">
        <v>575</v>
      </c>
      <c r="F25" s="12" t="s">
        <v>8</v>
      </c>
      <c r="G25" s="8" t="s">
        <v>576</v>
      </c>
      <c r="H25" s="11" t="s">
        <v>14</v>
      </c>
      <c r="I25" s="8" t="s">
        <v>577</v>
      </c>
      <c r="J25" s="8" t="s">
        <v>578</v>
      </c>
      <c r="K25" s="8" t="s">
        <v>52</v>
      </c>
      <c r="L25" s="8" t="s">
        <v>579</v>
      </c>
      <c r="M25" s="8" t="s">
        <v>288</v>
      </c>
      <c r="N25" s="8" t="s">
        <v>21</v>
      </c>
      <c r="O25" s="8" t="s">
        <v>580</v>
      </c>
    </row>
    <row r="26" customFormat="false" ht="68.65" hidden="false" customHeight="false" outlineLevel="0" collapsed="false">
      <c r="A26" s="8" t="s">
        <v>581</v>
      </c>
      <c r="B26" s="8" t="s">
        <v>574</v>
      </c>
      <c r="C26" s="9" t="s">
        <v>4</v>
      </c>
      <c r="D26" s="8" t="s">
        <v>574</v>
      </c>
      <c r="E26" s="8" t="s">
        <v>582</v>
      </c>
      <c r="F26" s="10" t="s">
        <v>9</v>
      </c>
      <c r="G26" s="8" t="s">
        <v>583</v>
      </c>
      <c r="H26" s="13" t="s">
        <v>15</v>
      </c>
      <c r="I26" s="8" t="s">
        <v>584</v>
      </c>
      <c r="J26" s="8" t="s">
        <v>585</v>
      </c>
      <c r="K26" s="8" t="s">
        <v>52</v>
      </c>
      <c r="L26" s="8" t="s">
        <v>586</v>
      </c>
      <c r="M26" s="8" t="s">
        <v>273</v>
      </c>
      <c r="N26" s="8" t="s">
        <v>22</v>
      </c>
      <c r="O26" s="8" t="s">
        <v>587</v>
      </c>
    </row>
    <row r="27" customFormat="false" ht="68.65" hidden="false" customHeight="false" outlineLevel="0" collapsed="false">
      <c r="A27" s="8" t="s">
        <v>588</v>
      </c>
      <c r="B27" s="8" t="s">
        <v>46</v>
      </c>
      <c r="C27" s="14" t="s">
        <v>5</v>
      </c>
      <c r="D27" s="8" t="s">
        <v>574</v>
      </c>
      <c r="E27" s="8" t="s">
        <v>589</v>
      </c>
      <c r="F27" s="10" t="s">
        <v>9</v>
      </c>
      <c r="G27" s="8" t="s">
        <v>590</v>
      </c>
      <c r="H27" s="13" t="s">
        <v>15</v>
      </c>
      <c r="I27" s="8" t="s">
        <v>591</v>
      </c>
      <c r="J27" s="8" t="s">
        <v>173</v>
      </c>
      <c r="K27" s="8" t="s">
        <v>78</v>
      </c>
      <c r="L27" s="8" t="s">
        <v>592</v>
      </c>
      <c r="M27" s="8" t="s">
        <v>273</v>
      </c>
      <c r="N27" s="8" t="s">
        <v>22</v>
      </c>
      <c r="O27" s="8" t="s">
        <v>593</v>
      </c>
    </row>
    <row r="28" customFormat="false" ht="57.45" hidden="false" customHeight="false" outlineLevel="0" collapsed="false">
      <c r="A28" s="8" t="s">
        <v>594</v>
      </c>
      <c r="B28" s="8" t="s">
        <v>46</v>
      </c>
      <c r="C28" s="14" t="s">
        <v>5</v>
      </c>
      <c r="D28" s="8" t="s">
        <v>574</v>
      </c>
      <c r="E28" s="8" t="s">
        <v>595</v>
      </c>
      <c r="F28" s="10" t="s">
        <v>9</v>
      </c>
      <c r="G28" s="8" t="s">
        <v>596</v>
      </c>
      <c r="H28" s="13" t="s">
        <v>15</v>
      </c>
      <c r="I28" s="8" t="s">
        <v>597</v>
      </c>
      <c r="J28" s="8" t="s">
        <v>173</v>
      </c>
      <c r="K28" s="8" t="s">
        <v>78</v>
      </c>
      <c r="L28" s="8" t="s">
        <v>598</v>
      </c>
      <c r="M28" s="8" t="s">
        <v>273</v>
      </c>
      <c r="N28" s="8" t="s">
        <v>22</v>
      </c>
      <c r="O28" s="8" t="s">
        <v>599</v>
      </c>
    </row>
    <row r="29" customFormat="false" ht="57.45" hidden="false" customHeight="false" outlineLevel="0" collapsed="false">
      <c r="A29" s="8" t="s">
        <v>607</v>
      </c>
      <c r="B29" s="8" t="s">
        <v>46</v>
      </c>
      <c r="C29" s="15" t="s">
        <v>6</v>
      </c>
      <c r="D29" s="8" t="s">
        <v>574</v>
      </c>
      <c r="E29" s="8" t="s">
        <v>608</v>
      </c>
      <c r="F29" s="12" t="s">
        <v>8</v>
      </c>
      <c r="G29" s="8" t="s">
        <v>609</v>
      </c>
      <c r="H29" s="13" t="s">
        <v>15</v>
      </c>
      <c r="I29" s="8" t="s">
        <v>610</v>
      </c>
      <c r="J29" s="8" t="s">
        <v>173</v>
      </c>
      <c r="K29" s="8" t="s">
        <v>78</v>
      </c>
      <c r="L29" s="8" t="s">
        <v>611</v>
      </c>
      <c r="M29" s="8" t="s">
        <v>288</v>
      </c>
      <c r="N29" s="8" t="s">
        <v>21</v>
      </c>
      <c r="O29" s="8" t="s">
        <v>112</v>
      </c>
    </row>
    <row r="30" customFormat="false" ht="57.45" hidden="false" customHeight="false" outlineLevel="0" collapsed="false">
      <c r="A30" s="8" t="s">
        <v>612</v>
      </c>
      <c r="B30" s="8" t="s">
        <v>46</v>
      </c>
      <c r="C30" s="15" t="s">
        <v>6</v>
      </c>
      <c r="D30" s="8" t="s">
        <v>574</v>
      </c>
      <c r="E30" s="8" t="s">
        <v>613</v>
      </c>
      <c r="F30" s="10" t="s">
        <v>9</v>
      </c>
      <c r="G30" s="8" t="s">
        <v>614</v>
      </c>
      <c r="H30" s="13" t="s">
        <v>15</v>
      </c>
      <c r="I30" s="8" t="s">
        <v>615</v>
      </c>
      <c r="J30" s="8" t="s">
        <v>173</v>
      </c>
      <c r="K30" s="8" t="s">
        <v>78</v>
      </c>
      <c r="L30" s="8" t="s">
        <v>616</v>
      </c>
      <c r="M30" s="8" t="s">
        <v>273</v>
      </c>
      <c r="N30" s="8" t="s">
        <v>22</v>
      </c>
      <c r="O30" s="8" t="s">
        <v>617</v>
      </c>
    </row>
    <row r="31" customFormat="false" ht="46.25" hidden="false" customHeight="false" outlineLevel="0" collapsed="false">
      <c r="A31" s="8" t="s">
        <v>624</v>
      </c>
      <c r="B31" s="8" t="s">
        <v>46</v>
      </c>
      <c r="C31" s="16" t="s">
        <v>7</v>
      </c>
      <c r="D31" s="8" t="s">
        <v>574</v>
      </c>
      <c r="E31" s="8" t="s">
        <v>625</v>
      </c>
      <c r="F31" s="19" t="s">
        <v>11</v>
      </c>
      <c r="G31" s="8" t="s">
        <v>626</v>
      </c>
      <c r="H31" s="12" t="s">
        <v>16</v>
      </c>
      <c r="I31" s="8" t="s">
        <v>627</v>
      </c>
      <c r="J31" s="8" t="s">
        <v>173</v>
      </c>
      <c r="K31" s="8" t="s">
        <v>78</v>
      </c>
      <c r="L31" s="8" t="s">
        <v>628</v>
      </c>
      <c r="M31" s="8" t="s">
        <v>180</v>
      </c>
      <c r="N31" s="8" t="s">
        <v>23</v>
      </c>
      <c r="O31" s="8" t="s">
        <v>112</v>
      </c>
    </row>
    <row r="32" customFormat="false" ht="46.25" hidden="false" customHeight="false" outlineLevel="0" collapsed="false">
      <c r="A32" s="8" t="s">
        <v>636</v>
      </c>
      <c r="B32" s="8" t="s">
        <v>46</v>
      </c>
      <c r="C32" s="16" t="s">
        <v>7</v>
      </c>
      <c r="D32" s="8" t="s">
        <v>574</v>
      </c>
      <c r="E32" s="8" t="s">
        <v>637</v>
      </c>
      <c r="F32" s="19" t="s">
        <v>11</v>
      </c>
      <c r="G32" s="8" t="s">
        <v>638</v>
      </c>
      <c r="H32" s="12" t="s">
        <v>16</v>
      </c>
      <c r="I32" s="8" t="s">
        <v>639</v>
      </c>
      <c r="J32" s="8" t="s">
        <v>173</v>
      </c>
      <c r="K32" s="8" t="s">
        <v>78</v>
      </c>
      <c r="L32" s="8" t="s">
        <v>179</v>
      </c>
      <c r="M32" s="8" t="s">
        <v>180</v>
      </c>
      <c r="N32" s="8" t="s">
        <v>23</v>
      </c>
      <c r="O32" s="8" t="s">
        <v>112</v>
      </c>
    </row>
    <row r="33" customFormat="false" ht="68.65" hidden="false" customHeight="false" outlineLevel="0" collapsed="false">
      <c r="A33" s="8" t="s">
        <v>647</v>
      </c>
      <c r="B33" s="8" t="s">
        <v>46</v>
      </c>
      <c r="C33" s="14" t="s">
        <v>5</v>
      </c>
      <c r="D33" s="8" t="s">
        <v>574</v>
      </c>
      <c r="E33" s="8" t="s">
        <v>648</v>
      </c>
      <c r="F33" s="10" t="s">
        <v>9</v>
      </c>
      <c r="G33" s="8" t="s">
        <v>649</v>
      </c>
      <c r="H33" s="13" t="s">
        <v>15</v>
      </c>
      <c r="I33" s="8" t="s">
        <v>650</v>
      </c>
      <c r="J33" s="8" t="s">
        <v>651</v>
      </c>
      <c r="K33" s="8" t="s">
        <v>52</v>
      </c>
      <c r="L33" s="8" t="s">
        <v>652</v>
      </c>
      <c r="M33" s="8" t="s">
        <v>273</v>
      </c>
      <c r="N33" s="8" t="s">
        <v>22</v>
      </c>
      <c r="O33" s="8" t="s">
        <v>112</v>
      </c>
    </row>
    <row r="34" customFormat="false" ht="57.45" hidden="false" customHeight="false" outlineLevel="0" collapsed="false">
      <c r="A34" s="8" t="s">
        <v>653</v>
      </c>
      <c r="B34" s="8" t="s">
        <v>46</v>
      </c>
      <c r="C34" s="14" t="s">
        <v>5</v>
      </c>
      <c r="D34" s="8" t="s">
        <v>574</v>
      </c>
      <c r="E34" s="8" t="s">
        <v>654</v>
      </c>
      <c r="F34" s="10" t="s">
        <v>9</v>
      </c>
      <c r="G34" s="8" t="s">
        <v>655</v>
      </c>
      <c r="H34" s="13" t="s">
        <v>15</v>
      </c>
      <c r="I34" s="8" t="s">
        <v>656</v>
      </c>
      <c r="J34" s="8" t="s">
        <v>657</v>
      </c>
      <c r="K34" s="8" t="s">
        <v>52</v>
      </c>
      <c r="L34" s="8" t="s">
        <v>658</v>
      </c>
      <c r="M34" s="8" t="s">
        <v>273</v>
      </c>
      <c r="N34" s="8" t="s">
        <v>22</v>
      </c>
      <c r="O34" s="8" t="s">
        <v>112</v>
      </c>
    </row>
    <row r="35" customFormat="false" ht="68.65" hidden="false" customHeight="false" outlineLevel="0" collapsed="false">
      <c r="A35" s="8" t="s">
        <v>659</v>
      </c>
      <c r="B35" s="8" t="s">
        <v>46</v>
      </c>
      <c r="C35" s="15" t="s">
        <v>6</v>
      </c>
      <c r="D35" s="8" t="s">
        <v>574</v>
      </c>
      <c r="E35" s="8" t="s">
        <v>660</v>
      </c>
      <c r="F35" s="10" t="s">
        <v>9</v>
      </c>
      <c r="G35" s="8" t="s">
        <v>661</v>
      </c>
      <c r="H35" s="13" t="s">
        <v>15</v>
      </c>
      <c r="I35" s="8" t="s">
        <v>662</v>
      </c>
      <c r="J35" s="8" t="s">
        <v>173</v>
      </c>
      <c r="K35" s="8" t="s">
        <v>78</v>
      </c>
      <c r="L35" s="8" t="s">
        <v>663</v>
      </c>
      <c r="M35" s="8" t="s">
        <v>273</v>
      </c>
      <c r="N35" s="8" t="s">
        <v>22</v>
      </c>
      <c r="O35" s="8" t="s">
        <v>664</v>
      </c>
    </row>
    <row r="36" customFormat="false" ht="57.45" hidden="false" customHeight="false" outlineLevel="0" collapsed="false">
      <c r="A36" s="8" t="s">
        <v>671</v>
      </c>
      <c r="B36" s="8" t="s">
        <v>46</v>
      </c>
      <c r="C36" s="16" t="s">
        <v>7</v>
      </c>
      <c r="D36" s="8" t="s">
        <v>574</v>
      </c>
      <c r="E36" s="8" t="s">
        <v>672</v>
      </c>
      <c r="F36" s="10" t="s">
        <v>9</v>
      </c>
      <c r="G36" s="8" t="s">
        <v>673</v>
      </c>
      <c r="H36" s="11" t="s">
        <v>14</v>
      </c>
      <c r="I36" s="8" t="s">
        <v>674</v>
      </c>
      <c r="J36" s="8" t="s">
        <v>173</v>
      </c>
      <c r="K36" s="8" t="s">
        <v>78</v>
      </c>
      <c r="L36" s="8" t="s">
        <v>675</v>
      </c>
      <c r="M36" s="8" t="s">
        <v>273</v>
      </c>
      <c r="N36" s="18" t="s">
        <v>25</v>
      </c>
      <c r="O36" s="8" t="s">
        <v>676</v>
      </c>
    </row>
    <row r="37" customFormat="false" ht="68.65" hidden="false" customHeight="false" outlineLevel="0" collapsed="false">
      <c r="A37" s="8" t="s">
        <v>686</v>
      </c>
      <c r="B37" s="8" t="s">
        <v>678</v>
      </c>
      <c r="C37" s="14" t="s">
        <v>5</v>
      </c>
      <c r="D37" s="8" t="s">
        <v>679</v>
      </c>
      <c r="E37" s="8" t="s">
        <v>687</v>
      </c>
      <c r="F37" s="20" t="s">
        <v>10</v>
      </c>
      <c r="G37" s="8" t="s">
        <v>688</v>
      </c>
      <c r="H37" s="8" t="s">
        <v>17</v>
      </c>
      <c r="I37" s="8" t="s">
        <v>682</v>
      </c>
      <c r="J37" s="8" t="s">
        <v>689</v>
      </c>
      <c r="K37" s="8" t="s">
        <v>78</v>
      </c>
      <c r="L37" s="8" t="s">
        <v>690</v>
      </c>
      <c r="M37" s="8" t="s">
        <v>399</v>
      </c>
      <c r="N37" s="8" t="s">
        <v>23</v>
      </c>
      <c r="O37" s="8" t="s">
        <v>691</v>
      </c>
    </row>
    <row r="38" customFormat="false" ht="46.25" hidden="false" customHeight="false" outlineLevel="0" collapsed="false">
      <c r="A38" s="8" t="s">
        <v>716</v>
      </c>
      <c r="B38" s="8" t="s">
        <v>678</v>
      </c>
      <c r="C38" s="16" t="s">
        <v>7</v>
      </c>
      <c r="D38" s="8" t="s">
        <v>679</v>
      </c>
      <c r="E38" s="8" t="s">
        <v>717</v>
      </c>
      <c r="F38" s="10" t="s">
        <v>9</v>
      </c>
      <c r="G38" s="8" t="s">
        <v>718</v>
      </c>
      <c r="H38" s="8" t="s">
        <v>17</v>
      </c>
      <c r="I38" s="8" t="s">
        <v>682</v>
      </c>
      <c r="J38" s="8" t="s">
        <v>719</v>
      </c>
      <c r="K38" s="8" t="s">
        <v>78</v>
      </c>
      <c r="L38" s="8" t="s">
        <v>720</v>
      </c>
      <c r="M38" s="8" t="s">
        <v>399</v>
      </c>
      <c r="N38" s="8" t="s">
        <v>22</v>
      </c>
      <c r="O38" s="8" t="s">
        <v>112</v>
      </c>
    </row>
    <row r="39" customFormat="false" ht="46.25" hidden="false" customHeight="false" outlineLevel="0" collapsed="false">
      <c r="A39" s="8" t="s">
        <v>721</v>
      </c>
      <c r="B39" s="8" t="s">
        <v>678</v>
      </c>
      <c r="C39" s="15" t="s">
        <v>6</v>
      </c>
      <c r="D39" s="8" t="s">
        <v>722</v>
      </c>
      <c r="E39" s="8" t="s">
        <v>723</v>
      </c>
      <c r="F39" s="12" t="s">
        <v>8</v>
      </c>
      <c r="G39" s="8" t="s">
        <v>724</v>
      </c>
      <c r="H39" s="8" t="s">
        <v>17</v>
      </c>
      <c r="I39" s="8" t="s">
        <v>682</v>
      </c>
      <c r="J39" s="8" t="s">
        <v>725</v>
      </c>
      <c r="K39" s="8" t="s">
        <v>52</v>
      </c>
      <c r="L39" s="8" t="s">
        <v>726</v>
      </c>
      <c r="M39" s="8" t="s">
        <v>350</v>
      </c>
      <c r="N39" s="8" t="s">
        <v>21</v>
      </c>
      <c r="O39" s="8" t="s">
        <v>112</v>
      </c>
    </row>
    <row r="40" customFormat="false" ht="46.25" hidden="false" customHeight="false" outlineLevel="0" collapsed="false">
      <c r="A40" s="8" t="s">
        <v>731</v>
      </c>
      <c r="B40" s="8" t="s">
        <v>678</v>
      </c>
      <c r="C40" s="15" t="s">
        <v>6</v>
      </c>
      <c r="D40" s="8" t="s">
        <v>722</v>
      </c>
      <c r="E40" s="8" t="s">
        <v>732</v>
      </c>
      <c r="F40" s="20" t="s">
        <v>10</v>
      </c>
      <c r="G40" s="8" t="s">
        <v>733</v>
      </c>
      <c r="H40" s="8" t="s">
        <v>17</v>
      </c>
      <c r="I40" s="8" t="s">
        <v>682</v>
      </c>
      <c r="J40" s="8" t="s">
        <v>734</v>
      </c>
      <c r="K40" s="8" t="s">
        <v>78</v>
      </c>
      <c r="L40" s="8" t="s">
        <v>735</v>
      </c>
      <c r="M40" s="8" t="s">
        <v>399</v>
      </c>
      <c r="N40" s="8" t="s">
        <v>23</v>
      </c>
      <c r="O40" s="8" t="s">
        <v>112</v>
      </c>
    </row>
    <row r="41" customFormat="false" ht="46.25" hidden="false" customHeight="false" outlineLevel="0" collapsed="false">
      <c r="A41" s="8" t="s">
        <v>745</v>
      </c>
      <c r="B41" s="8" t="s">
        <v>678</v>
      </c>
      <c r="C41" s="9" t="s">
        <v>4</v>
      </c>
      <c r="D41" s="8" t="s">
        <v>722</v>
      </c>
      <c r="E41" s="8" t="s">
        <v>746</v>
      </c>
      <c r="F41" s="10" t="s">
        <v>9</v>
      </c>
      <c r="G41" s="8" t="s">
        <v>747</v>
      </c>
      <c r="H41" s="8" t="s">
        <v>17</v>
      </c>
      <c r="I41" s="8" t="s">
        <v>682</v>
      </c>
      <c r="J41" s="8" t="s">
        <v>748</v>
      </c>
      <c r="K41" s="8" t="s">
        <v>52</v>
      </c>
      <c r="L41" s="8" t="s">
        <v>749</v>
      </c>
      <c r="M41" s="8" t="s">
        <v>399</v>
      </c>
      <c r="N41" s="8" t="s">
        <v>22</v>
      </c>
      <c r="O41" s="8" t="s">
        <v>750</v>
      </c>
    </row>
    <row r="42" customFormat="false" ht="57.45" hidden="false" customHeight="false" outlineLevel="0" collapsed="false">
      <c r="A42" s="8" t="s">
        <v>751</v>
      </c>
      <c r="B42" s="8" t="s">
        <v>678</v>
      </c>
      <c r="C42" s="14" t="s">
        <v>5</v>
      </c>
      <c r="D42" s="8" t="s">
        <v>722</v>
      </c>
      <c r="E42" s="8" t="s">
        <v>752</v>
      </c>
      <c r="F42" s="10" t="s">
        <v>9</v>
      </c>
      <c r="G42" s="8" t="s">
        <v>753</v>
      </c>
      <c r="H42" s="8" t="s">
        <v>12</v>
      </c>
      <c r="I42" s="8" t="s">
        <v>754</v>
      </c>
      <c r="J42" s="8" t="s">
        <v>755</v>
      </c>
      <c r="K42" s="8" t="s">
        <v>52</v>
      </c>
      <c r="L42" s="8" t="s">
        <v>756</v>
      </c>
      <c r="M42" s="8" t="s">
        <v>399</v>
      </c>
      <c r="N42" s="8" t="s">
        <v>22</v>
      </c>
      <c r="O42" s="8" t="s">
        <v>112</v>
      </c>
    </row>
    <row r="43" customFormat="false" ht="68.65" hidden="false" customHeight="false" outlineLevel="0" collapsed="false">
      <c r="A43" s="8" t="s">
        <v>757</v>
      </c>
      <c r="B43" s="8" t="s">
        <v>678</v>
      </c>
      <c r="C43" s="14" t="s">
        <v>5</v>
      </c>
      <c r="D43" s="8" t="s">
        <v>722</v>
      </c>
      <c r="E43" s="8" t="s">
        <v>758</v>
      </c>
      <c r="F43" s="12" t="s">
        <v>8</v>
      </c>
      <c r="G43" s="8" t="s">
        <v>759</v>
      </c>
      <c r="H43" s="8" t="s">
        <v>17</v>
      </c>
      <c r="I43" s="8" t="s">
        <v>682</v>
      </c>
      <c r="J43" s="8" t="s">
        <v>760</v>
      </c>
      <c r="K43" s="8" t="s">
        <v>52</v>
      </c>
      <c r="L43" s="8" t="s">
        <v>761</v>
      </c>
      <c r="M43" s="8" t="s">
        <v>350</v>
      </c>
      <c r="N43" s="8" t="s">
        <v>21</v>
      </c>
      <c r="O43" s="8" t="s">
        <v>112</v>
      </c>
    </row>
    <row r="44" customFormat="false" ht="46.25" hidden="false" customHeight="false" outlineLevel="0" collapsed="false">
      <c r="A44" s="8" t="s">
        <v>762</v>
      </c>
      <c r="B44" s="8" t="s">
        <v>678</v>
      </c>
      <c r="C44" s="15" t="s">
        <v>6</v>
      </c>
      <c r="D44" s="8" t="s">
        <v>722</v>
      </c>
      <c r="E44" s="8" t="s">
        <v>763</v>
      </c>
      <c r="F44" s="12" t="s">
        <v>8</v>
      </c>
      <c r="G44" s="8" t="s">
        <v>764</v>
      </c>
      <c r="H44" s="8" t="s">
        <v>17</v>
      </c>
      <c r="I44" s="8" t="s">
        <v>682</v>
      </c>
      <c r="J44" s="8" t="s">
        <v>765</v>
      </c>
      <c r="K44" s="8" t="s">
        <v>52</v>
      </c>
      <c r="L44" s="8" t="s">
        <v>766</v>
      </c>
      <c r="M44" s="8" t="s">
        <v>350</v>
      </c>
      <c r="N44" s="8" t="s">
        <v>21</v>
      </c>
      <c r="O44" s="8" t="s">
        <v>112</v>
      </c>
    </row>
    <row r="45" customFormat="false" ht="35.05" hidden="false" customHeight="false" outlineLevel="0" collapsed="false">
      <c r="A45" s="8" t="s">
        <v>767</v>
      </c>
      <c r="B45" s="8" t="s">
        <v>678</v>
      </c>
      <c r="C45" s="15" t="s">
        <v>6</v>
      </c>
      <c r="D45" s="8" t="s">
        <v>722</v>
      </c>
      <c r="E45" s="8" t="s">
        <v>768</v>
      </c>
      <c r="F45" s="12" t="s">
        <v>8</v>
      </c>
      <c r="G45" s="8" t="s">
        <v>769</v>
      </c>
      <c r="H45" s="8" t="s">
        <v>17</v>
      </c>
      <c r="I45" s="8" t="s">
        <v>682</v>
      </c>
      <c r="J45" s="8" t="s">
        <v>770</v>
      </c>
      <c r="K45" s="8" t="s">
        <v>52</v>
      </c>
      <c r="L45" s="8" t="s">
        <v>771</v>
      </c>
      <c r="M45" s="8" t="s">
        <v>350</v>
      </c>
      <c r="N45" s="8" t="s">
        <v>21</v>
      </c>
      <c r="O45" s="8" t="s">
        <v>112</v>
      </c>
    </row>
    <row r="46" customFormat="false" ht="68.65" hidden="false" customHeight="false" outlineLevel="0" collapsed="false">
      <c r="A46" s="8" t="s">
        <v>772</v>
      </c>
      <c r="B46" s="8" t="s">
        <v>678</v>
      </c>
      <c r="C46" s="16" t="s">
        <v>7</v>
      </c>
      <c r="D46" s="8" t="s">
        <v>722</v>
      </c>
      <c r="E46" s="8" t="s">
        <v>773</v>
      </c>
      <c r="F46" s="10" t="s">
        <v>9</v>
      </c>
      <c r="G46" s="8" t="s">
        <v>774</v>
      </c>
      <c r="H46" s="8" t="s">
        <v>12</v>
      </c>
      <c r="I46" s="8" t="s">
        <v>775</v>
      </c>
      <c r="J46" s="8" t="s">
        <v>776</v>
      </c>
      <c r="K46" s="8" t="s">
        <v>78</v>
      </c>
      <c r="L46" s="8" t="s">
        <v>777</v>
      </c>
      <c r="M46" s="8" t="s">
        <v>399</v>
      </c>
      <c r="N46" s="8" t="s">
        <v>22</v>
      </c>
      <c r="O46" s="8" t="s">
        <v>778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2026-09-22T22:47:22Z</dcterms:created>
  <dc:creator>openpyxl</dc:creator>
  <dc:description/>
  <dc:language>en-IN</dc:language>
  <cp:lastModifiedBy/>
  <dcterms:modified xsi:type="dcterms:W3CDTF">2026-09-22T22:47:23Z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